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Progiciels Excel\Congo-Kinshasa\"/>
    </mc:Choice>
  </mc:AlternateContent>
  <xr:revisionPtr revIDLastSave="0" documentId="13_ncr:1_{30730DC5-B948-483D-A057-6F3BC1962E5B}" xr6:coauthVersionLast="36" xr6:coauthVersionMax="36" xr10:uidLastSave="{00000000-0000-0000-0000-000000000000}"/>
  <bookViews>
    <workbookView minimized="1" xWindow="0" yWindow="0" windowWidth="19200" windowHeight="6930" xr2:uid="{00000000-000D-0000-FFFF-FFFF00000000}"/>
  </bookViews>
  <sheets>
    <sheet name="BULLETIN" sheetId="1" r:id="rId1"/>
    <sheet name="LISTE" sheetId="2" r:id="rId2"/>
    <sheet name="Feuil1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7" i="1" l="1"/>
  <c r="G37" i="1"/>
  <c r="F37" i="1"/>
  <c r="D37" i="1"/>
  <c r="C37" i="1"/>
  <c r="B37" i="1"/>
  <c r="H36" i="1"/>
  <c r="G36" i="1"/>
  <c r="F36" i="1"/>
  <c r="B36" i="1"/>
  <c r="D36" i="1"/>
  <c r="C36" i="1"/>
  <c r="H34" i="1"/>
  <c r="G34" i="1"/>
  <c r="F34" i="1"/>
  <c r="D34" i="1"/>
  <c r="C34" i="1"/>
  <c r="B34" i="1"/>
  <c r="H33" i="1"/>
  <c r="G33" i="1"/>
  <c r="F33" i="1"/>
  <c r="D33" i="1"/>
  <c r="C33" i="1"/>
  <c r="B33" i="1"/>
  <c r="E33" i="1" s="1"/>
  <c r="H32" i="1"/>
  <c r="G32" i="1"/>
  <c r="F32" i="1"/>
  <c r="D32" i="1"/>
  <c r="C32" i="1"/>
  <c r="B32" i="1"/>
  <c r="H31" i="1"/>
  <c r="G31" i="1"/>
  <c r="F31" i="1"/>
  <c r="D31" i="1"/>
  <c r="C31" i="1"/>
  <c r="B31" i="1"/>
  <c r="H30" i="1"/>
  <c r="G30" i="1"/>
  <c r="F30" i="1"/>
  <c r="D30" i="1"/>
  <c r="C30" i="1"/>
  <c r="B30" i="1"/>
  <c r="H29" i="1"/>
  <c r="G29" i="1"/>
  <c r="F29" i="1"/>
  <c r="D29" i="1"/>
  <c r="C29" i="1"/>
  <c r="B29" i="1"/>
  <c r="H27" i="1"/>
  <c r="G27" i="1"/>
  <c r="F27" i="1"/>
  <c r="D27" i="1"/>
  <c r="C27" i="1"/>
  <c r="B27" i="1"/>
  <c r="A34" i="1"/>
  <c r="A27" i="1"/>
  <c r="E31" i="1" l="1"/>
  <c r="I34" i="1"/>
  <c r="E34" i="1"/>
  <c r="J34" i="1" s="1"/>
  <c r="I27" i="1"/>
  <c r="E27" i="1"/>
  <c r="H26" i="1"/>
  <c r="G26" i="1"/>
  <c r="F26" i="1"/>
  <c r="I26" i="1" s="1"/>
  <c r="D26" i="1"/>
  <c r="C26" i="1"/>
  <c r="B26" i="1"/>
  <c r="H25" i="1"/>
  <c r="G25" i="1"/>
  <c r="F25" i="1"/>
  <c r="D25" i="1"/>
  <c r="C25" i="1"/>
  <c r="B25" i="1"/>
  <c r="H24" i="1"/>
  <c r="G24" i="1"/>
  <c r="F24" i="1"/>
  <c r="D24" i="1"/>
  <c r="C24" i="1"/>
  <c r="B24" i="1"/>
  <c r="H23" i="1"/>
  <c r="G23" i="1"/>
  <c r="F23" i="1"/>
  <c r="D23" i="1"/>
  <c r="C23" i="1"/>
  <c r="B23" i="1"/>
  <c r="H22" i="1"/>
  <c r="G22" i="1"/>
  <c r="F22" i="1"/>
  <c r="D22" i="1"/>
  <c r="C22" i="1"/>
  <c r="B22" i="1"/>
  <c r="H21" i="1"/>
  <c r="G21" i="1"/>
  <c r="F21" i="1"/>
  <c r="D21" i="1"/>
  <c r="C21" i="1"/>
  <c r="B21" i="1"/>
  <c r="H20" i="1"/>
  <c r="G20" i="1"/>
  <c r="F20" i="1"/>
  <c r="D20" i="1"/>
  <c r="C20" i="1"/>
  <c r="B20" i="1"/>
  <c r="H19" i="1"/>
  <c r="G19" i="1"/>
  <c r="F19" i="1"/>
  <c r="D19" i="1"/>
  <c r="C19" i="1"/>
  <c r="B19" i="1"/>
  <c r="H18" i="1"/>
  <c r="H17" i="1"/>
  <c r="G17" i="1"/>
  <c r="F17" i="1"/>
  <c r="D17" i="1"/>
  <c r="C17" i="1"/>
  <c r="B17" i="1"/>
  <c r="H15" i="1"/>
  <c r="A37" i="1"/>
  <c r="A36" i="1"/>
  <c r="A33" i="1"/>
  <c r="A32" i="1"/>
  <c r="A31" i="1"/>
  <c r="A30" i="1"/>
  <c r="A29" i="1"/>
  <c r="A26" i="1"/>
  <c r="A25" i="1"/>
  <c r="A24" i="1"/>
  <c r="A19" i="1"/>
  <c r="A17" i="1"/>
  <c r="E25" i="1" l="1"/>
  <c r="J27" i="1"/>
  <c r="E26" i="1"/>
  <c r="J26" i="1" s="1"/>
  <c r="I25" i="1"/>
  <c r="I17" i="1"/>
  <c r="E17" i="1"/>
  <c r="E32" i="1"/>
  <c r="I33" i="1"/>
  <c r="I24" i="1"/>
  <c r="E24" i="1"/>
  <c r="I23" i="1"/>
  <c r="E23" i="1"/>
  <c r="I22" i="1"/>
  <c r="E22" i="1"/>
  <c r="I21" i="1"/>
  <c r="E21" i="1"/>
  <c r="I20" i="1"/>
  <c r="E20" i="1"/>
  <c r="I19" i="1"/>
  <c r="E19" i="1"/>
  <c r="J25" i="1" l="1"/>
  <c r="J17" i="1"/>
  <c r="J19" i="1"/>
  <c r="J21" i="1"/>
  <c r="J33" i="1"/>
  <c r="J20" i="1"/>
  <c r="J24" i="1"/>
  <c r="J23" i="1"/>
  <c r="J22" i="1"/>
  <c r="A15" i="1"/>
  <c r="B13" i="1" l="1"/>
  <c r="A13" i="1"/>
  <c r="H7" i="1" l="1"/>
  <c r="H6" i="1"/>
  <c r="M6" i="1"/>
  <c r="H13" i="1" l="1"/>
  <c r="G18" i="1"/>
  <c r="F18" i="1"/>
  <c r="D18" i="1"/>
  <c r="D15" i="1"/>
  <c r="C18" i="1"/>
  <c r="B18" i="1"/>
  <c r="B15" i="1"/>
  <c r="I18" i="1" l="1"/>
  <c r="E18" i="1"/>
  <c r="J18" i="1" s="1"/>
  <c r="E37" i="1"/>
  <c r="I37" i="1"/>
  <c r="G15" i="1"/>
  <c r="F15" i="1"/>
  <c r="D14" i="1"/>
  <c r="C15" i="1"/>
  <c r="E15" i="1" s="1"/>
  <c r="H14" i="1"/>
  <c r="H38" i="1" s="1"/>
  <c r="G14" i="1"/>
  <c r="F14" i="1"/>
  <c r="C14" i="1"/>
  <c r="B14" i="1"/>
  <c r="G13" i="1"/>
  <c r="F13" i="1"/>
  <c r="D13" i="1"/>
  <c r="C13" i="1"/>
  <c r="I15" i="1" l="1"/>
  <c r="J15" i="1" s="1"/>
  <c r="F38" i="1"/>
  <c r="F39" i="1"/>
  <c r="G38" i="1"/>
  <c r="G39" i="1"/>
  <c r="C38" i="1"/>
  <c r="C39" i="1"/>
  <c r="EZ4" i="2"/>
  <c r="EZ8" i="2"/>
  <c r="EZ12" i="2"/>
  <c r="EZ16" i="2"/>
  <c r="EZ20" i="2"/>
  <c r="EZ24" i="2"/>
  <c r="EZ28" i="2"/>
  <c r="EZ32" i="2"/>
  <c r="EZ36" i="2"/>
  <c r="EZ40" i="2"/>
  <c r="EZ44" i="2"/>
  <c r="EZ48" i="2"/>
  <c r="EZ52" i="2"/>
  <c r="EZ56" i="2"/>
  <c r="EZ60" i="2"/>
  <c r="EZ64" i="2"/>
  <c r="EZ68" i="2"/>
  <c r="EZ72" i="2"/>
  <c r="EZ5" i="2"/>
  <c r="EZ9" i="2"/>
  <c r="EZ13" i="2"/>
  <c r="EZ17" i="2"/>
  <c r="EZ21" i="2"/>
  <c r="EZ25" i="2"/>
  <c r="EZ29" i="2"/>
  <c r="EZ33" i="2"/>
  <c r="EZ37" i="2"/>
  <c r="EZ41" i="2"/>
  <c r="EZ45" i="2"/>
  <c r="EZ49" i="2"/>
  <c r="EZ53" i="2"/>
  <c r="EZ57" i="2"/>
  <c r="EZ61" i="2"/>
  <c r="EZ65" i="2"/>
  <c r="EZ69" i="2"/>
  <c r="EZ3" i="2"/>
  <c r="EZ6" i="2"/>
  <c r="EZ10" i="2"/>
  <c r="EZ14" i="2"/>
  <c r="EZ18" i="2"/>
  <c r="EZ22" i="2"/>
  <c r="EZ26" i="2"/>
  <c r="EZ30" i="2"/>
  <c r="EZ34" i="2"/>
  <c r="EZ38" i="2"/>
  <c r="EZ42" i="2"/>
  <c r="EZ46" i="2"/>
  <c r="EZ50" i="2"/>
  <c r="EZ54" i="2"/>
  <c r="EZ58" i="2"/>
  <c r="EZ62" i="2"/>
  <c r="EZ66" i="2"/>
  <c r="EZ70" i="2"/>
  <c r="EZ15" i="2"/>
  <c r="EZ31" i="2"/>
  <c r="EZ47" i="2"/>
  <c r="EZ63" i="2"/>
  <c r="EZ27" i="2"/>
  <c r="EZ19" i="2"/>
  <c r="EZ35" i="2"/>
  <c r="EZ51" i="2"/>
  <c r="EZ67" i="2"/>
  <c r="EZ11" i="2"/>
  <c r="EZ59" i="2"/>
  <c r="EZ7" i="2"/>
  <c r="EZ23" i="2"/>
  <c r="EZ39" i="2"/>
  <c r="EZ55" i="2"/>
  <c r="EZ71" i="2"/>
  <c r="EZ43" i="2"/>
  <c r="B38" i="1"/>
  <c r="EN3" i="2" s="1"/>
  <c r="B39" i="1"/>
  <c r="D39" i="1"/>
  <c r="H39" i="1"/>
  <c r="D38" i="1"/>
  <c r="J37" i="1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/>
  <c r="A17" i="3" s="1"/>
  <c r="A18" i="3" s="1"/>
  <c r="A19" i="3" s="1"/>
  <c r="A20" i="3"/>
  <c r="A4" i="3"/>
  <c r="EX5" i="2" l="1"/>
  <c r="EX9" i="2"/>
  <c r="EX13" i="2"/>
  <c r="EX17" i="2"/>
  <c r="EX21" i="2"/>
  <c r="EX25" i="2"/>
  <c r="EX29" i="2"/>
  <c r="EX33" i="2"/>
  <c r="EX37" i="2"/>
  <c r="EX41" i="2"/>
  <c r="EX45" i="2"/>
  <c r="EX49" i="2"/>
  <c r="EX53" i="2"/>
  <c r="EX57" i="2"/>
  <c r="EX61" i="2"/>
  <c r="EX65" i="2"/>
  <c r="EX69" i="2"/>
  <c r="EX3" i="2"/>
  <c r="EX6" i="2"/>
  <c r="EX10" i="2"/>
  <c r="EX14" i="2"/>
  <c r="EX18" i="2"/>
  <c r="EX22" i="2"/>
  <c r="EX26" i="2"/>
  <c r="EX30" i="2"/>
  <c r="EX34" i="2"/>
  <c r="EX38" i="2"/>
  <c r="EX42" i="2"/>
  <c r="EX46" i="2"/>
  <c r="EX50" i="2"/>
  <c r="EX54" i="2"/>
  <c r="EX58" i="2"/>
  <c r="EX62" i="2"/>
  <c r="EX66" i="2"/>
  <c r="EX70" i="2"/>
  <c r="EX7" i="2"/>
  <c r="EX11" i="2"/>
  <c r="EX15" i="2"/>
  <c r="EX19" i="2"/>
  <c r="EX23" i="2"/>
  <c r="EX27" i="2"/>
  <c r="EX31" i="2"/>
  <c r="EX35" i="2"/>
  <c r="EX39" i="2"/>
  <c r="EX43" i="2"/>
  <c r="EX47" i="2"/>
  <c r="EX51" i="2"/>
  <c r="EX55" i="2"/>
  <c r="EX59" i="2"/>
  <c r="EX63" i="2"/>
  <c r="EX67" i="2"/>
  <c r="EX71" i="2"/>
  <c r="EX8" i="2"/>
  <c r="EX24" i="2"/>
  <c r="EX40" i="2"/>
  <c r="EX56" i="2"/>
  <c r="EX72" i="2"/>
  <c r="EX4" i="2"/>
  <c r="EX52" i="2"/>
  <c r="EX12" i="2"/>
  <c r="EX28" i="2"/>
  <c r="EX44" i="2"/>
  <c r="EX60" i="2"/>
  <c r="EX36" i="2"/>
  <c r="EX68" i="2"/>
  <c r="EX16" i="2"/>
  <c r="EX32" i="2"/>
  <c r="EX48" i="2"/>
  <c r="EX64" i="2"/>
  <c r="EX20" i="2"/>
  <c r="FA3" i="2"/>
  <c r="ER6" i="2"/>
  <c r="ER10" i="2"/>
  <c r="ER14" i="2"/>
  <c r="ER18" i="2"/>
  <c r="ER22" i="2"/>
  <c r="ER26" i="2"/>
  <c r="ER30" i="2"/>
  <c r="ER34" i="2"/>
  <c r="ER38" i="2"/>
  <c r="ER42" i="2"/>
  <c r="ER46" i="2"/>
  <c r="ER50" i="2"/>
  <c r="ER54" i="2"/>
  <c r="ER58" i="2"/>
  <c r="ER62" i="2"/>
  <c r="ER66" i="2"/>
  <c r="ER70" i="2"/>
  <c r="ER7" i="2"/>
  <c r="ER11" i="2"/>
  <c r="ER15" i="2"/>
  <c r="ER19" i="2"/>
  <c r="ER23" i="2"/>
  <c r="ER27" i="2"/>
  <c r="ER31" i="2"/>
  <c r="ER35" i="2"/>
  <c r="ER39" i="2"/>
  <c r="ER43" i="2"/>
  <c r="ER47" i="2"/>
  <c r="ER51" i="2"/>
  <c r="ER55" i="2"/>
  <c r="ER59" i="2"/>
  <c r="ER63" i="2"/>
  <c r="ER67" i="2"/>
  <c r="ER71" i="2"/>
  <c r="ER4" i="2"/>
  <c r="ER8" i="2"/>
  <c r="ER12" i="2"/>
  <c r="ER16" i="2"/>
  <c r="ER20" i="2"/>
  <c r="ER24" i="2"/>
  <c r="ER28" i="2"/>
  <c r="ER32" i="2"/>
  <c r="ER36" i="2"/>
  <c r="ER40" i="2"/>
  <c r="ER44" i="2"/>
  <c r="ER48" i="2"/>
  <c r="ER52" i="2"/>
  <c r="ER56" i="2"/>
  <c r="ER60" i="2"/>
  <c r="ER64" i="2"/>
  <c r="ER68" i="2"/>
  <c r="ER72" i="2"/>
  <c r="ER5" i="2"/>
  <c r="ER21" i="2"/>
  <c r="ER37" i="2"/>
  <c r="ER53" i="2"/>
  <c r="ER69" i="2"/>
  <c r="ER17" i="2"/>
  <c r="ER65" i="2"/>
  <c r="ER9" i="2"/>
  <c r="ER25" i="2"/>
  <c r="ER41" i="2"/>
  <c r="ER57" i="2"/>
  <c r="ER3" i="2"/>
  <c r="ER33" i="2"/>
  <c r="ER13" i="2"/>
  <c r="ER29" i="2"/>
  <c r="ER45" i="2"/>
  <c r="ER61" i="2"/>
  <c r="ER49" i="2"/>
  <c r="EN6" i="2"/>
  <c r="EN10" i="2"/>
  <c r="EN14" i="2"/>
  <c r="EN18" i="2"/>
  <c r="EN22" i="2"/>
  <c r="EN26" i="2"/>
  <c r="EN30" i="2"/>
  <c r="EN34" i="2"/>
  <c r="EN38" i="2"/>
  <c r="EN42" i="2"/>
  <c r="EN46" i="2"/>
  <c r="EN50" i="2"/>
  <c r="EN54" i="2"/>
  <c r="EN58" i="2"/>
  <c r="EN62" i="2"/>
  <c r="EN66" i="2"/>
  <c r="EN70" i="2"/>
  <c r="EN7" i="2"/>
  <c r="EN11" i="2"/>
  <c r="EN15" i="2"/>
  <c r="EN19" i="2"/>
  <c r="EN23" i="2"/>
  <c r="EN27" i="2"/>
  <c r="EN31" i="2"/>
  <c r="EN35" i="2"/>
  <c r="EN39" i="2"/>
  <c r="EN43" i="2"/>
  <c r="EN47" i="2"/>
  <c r="EN51" i="2"/>
  <c r="EN55" i="2"/>
  <c r="EN59" i="2"/>
  <c r="EN63" i="2"/>
  <c r="EN67" i="2"/>
  <c r="EN71" i="2"/>
  <c r="EN4" i="2"/>
  <c r="EN8" i="2"/>
  <c r="EN12" i="2"/>
  <c r="EN16" i="2"/>
  <c r="EN20" i="2"/>
  <c r="EN24" i="2"/>
  <c r="EN28" i="2"/>
  <c r="EN32" i="2"/>
  <c r="EN36" i="2"/>
  <c r="EN40" i="2"/>
  <c r="EN44" i="2"/>
  <c r="EN48" i="2"/>
  <c r="EN52" i="2"/>
  <c r="EN56" i="2"/>
  <c r="EN60" i="2"/>
  <c r="EN64" i="2"/>
  <c r="EN68" i="2"/>
  <c r="EN72" i="2"/>
  <c r="EN9" i="2"/>
  <c r="EN25" i="2"/>
  <c r="EN41" i="2"/>
  <c r="EN57" i="2"/>
  <c r="EN21" i="2"/>
  <c r="EN69" i="2"/>
  <c r="EN13" i="2"/>
  <c r="EN29" i="2"/>
  <c r="EN45" i="2"/>
  <c r="EN61" i="2"/>
  <c r="EN5" i="2"/>
  <c r="EN53" i="2"/>
  <c r="EN17" i="2"/>
  <c r="EN33" i="2"/>
  <c r="EN49" i="2"/>
  <c r="EN65" i="2"/>
  <c r="EN37" i="2"/>
  <c r="EP4" i="2"/>
  <c r="EP8" i="2"/>
  <c r="EP12" i="2"/>
  <c r="EP16" i="2"/>
  <c r="EP20" i="2"/>
  <c r="EP24" i="2"/>
  <c r="EP28" i="2"/>
  <c r="EP32" i="2"/>
  <c r="EP36" i="2"/>
  <c r="EP40" i="2"/>
  <c r="EP44" i="2"/>
  <c r="EP48" i="2"/>
  <c r="EP52" i="2"/>
  <c r="EP56" i="2"/>
  <c r="EP60" i="2"/>
  <c r="EP64" i="2"/>
  <c r="EP68" i="2"/>
  <c r="EP72" i="2"/>
  <c r="EP5" i="2"/>
  <c r="EP9" i="2"/>
  <c r="EP13" i="2"/>
  <c r="EP17" i="2"/>
  <c r="EP21" i="2"/>
  <c r="EP25" i="2"/>
  <c r="EP29" i="2"/>
  <c r="EP33" i="2"/>
  <c r="EP37" i="2"/>
  <c r="EP41" i="2"/>
  <c r="EP45" i="2"/>
  <c r="EP49" i="2"/>
  <c r="EP53" i="2"/>
  <c r="EP57" i="2"/>
  <c r="EP61" i="2"/>
  <c r="EP65" i="2"/>
  <c r="EP69" i="2"/>
  <c r="EP3" i="2"/>
  <c r="EP6" i="2"/>
  <c r="EP10" i="2"/>
  <c r="EP14" i="2"/>
  <c r="EP18" i="2"/>
  <c r="EP22" i="2"/>
  <c r="EP26" i="2"/>
  <c r="EP30" i="2"/>
  <c r="EP34" i="2"/>
  <c r="EP38" i="2"/>
  <c r="EP42" i="2"/>
  <c r="EP46" i="2"/>
  <c r="EP50" i="2"/>
  <c r="EP54" i="2"/>
  <c r="EP58" i="2"/>
  <c r="EP62" i="2"/>
  <c r="EP66" i="2"/>
  <c r="EP70" i="2"/>
  <c r="EP15" i="2"/>
  <c r="EP31" i="2"/>
  <c r="EP47" i="2"/>
  <c r="EP63" i="2"/>
  <c r="EP43" i="2"/>
  <c r="EP19" i="2"/>
  <c r="EP35" i="2"/>
  <c r="EP51" i="2"/>
  <c r="EP67" i="2"/>
  <c r="EP11" i="2"/>
  <c r="EP7" i="2"/>
  <c r="EP23" i="2"/>
  <c r="EP39" i="2"/>
  <c r="EP55" i="2"/>
  <c r="EP71" i="2"/>
  <c r="EP27" i="2"/>
  <c r="EP59" i="2"/>
  <c r="EV7" i="2"/>
  <c r="EV11" i="2"/>
  <c r="EV15" i="2"/>
  <c r="EV19" i="2"/>
  <c r="EV23" i="2"/>
  <c r="EV27" i="2"/>
  <c r="EV31" i="2"/>
  <c r="EV35" i="2"/>
  <c r="EV39" i="2"/>
  <c r="EV43" i="2"/>
  <c r="EV47" i="2"/>
  <c r="EV51" i="2"/>
  <c r="EV55" i="2"/>
  <c r="EV59" i="2"/>
  <c r="EV63" i="2"/>
  <c r="EV67" i="2"/>
  <c r="EV71" i="2"/>
  <c r="EV4" i="2"/>
  <c r="EV8" i="2"/>
  <c r="EV12" i="2"/>
  <c r="EV16" i="2"/>
  <c r="EV20" i="2"/>
  <c r="EV24" i="2"/>
  <c r="EV28" i="2"/>
  <c r="EV32" i="2"/>
  <c r="EV36" i="2"/>
  <c r="EV40" i="2"/>
  <c r="EV44" i="2"/>
  <c r="EV48" i="2"/>
  <c r="EV52" i="2"/>
  <c r="EV56" i="2"/>
  <c r="EV60" i="2"/>
  <c r="EV64" i="2"/>
  <c r="EV68" i="2"/>
  <c r="EV72" i="2"/>
  <c r="EV5" i="2"/>
  <c r="EV9" i="2"/>
  <c r="EV13" i="2"/>
  <c r="EV17" i="2"/>
  <c r="EV21" i="2"/>
  <c r="EV25" i="2"/>
  <c r="EV29" i="2"/>
  <c r="EV33" i="2"/>
  <c r="EV37" i="2"/>
  <c r="EV41" i="2"/>
  <c r="EV45" i="2"/>
  <c r="EV49" i="2"/>
  <c r="EV53" i="2"/>
  <c r="EV57" i="2"/>
  <c r="EV61" i="2"/>
  <c r="EV65" i="2"/>
  <c r="EV69" i="2"/>
  <c r="EV3" i="2"/>
  <c r="EV18" i="2"/>
  <c r="EV34" i="2"/>
  <c r="EV50" i="2"/>
  <c r="EV66" i="2"/>
  <c r="EV30" i="2"/>
  <c r="EV6" i="2"/>
  <c r="EV22" i="2"/>
  <c r="EV38" i="2"/>
  <c r="EV54" i="2"/>
  <c r="EV70" i="2"/>
  <c r="EV46" i="2"/>
  <c r="EV10" i="2"/>
  <c r="EV26" i="2"/>
  <c r="EV42" i="2"/>
  <c r="EV58" i="2"/>
  <c r="EV14" i="2"/>
  <c r="EV62" i="2"/>
  <c r="FA10" i="2"/>
  <c r="C40" i="1"/>
  <c r="FA46" i="2"/>
  <c r="FA9" i="2"/>
  <c r="FA66" i="2"/>
  <c r="FA58" i="2"/>
  <c r="FA6" i="2"/>
  <c r="FA67" i="2"/>
  <c r="FA28" i="2"/>
  <c r="FA24" i="2"/>
  <c r="FA42" i="2"/>
  <c r="FA62" i="2"/>
  <c r="FA18" i="2"/>
  <c r="FA33" i="2"/>
  <c r="FA30" i="2"/>
  <c r="FA22" i="2"/>
  <c r="FA44" i="2"/>
  <c r="FA72" i="2"/>
  <c r="FA20" i="2"/>
  <c r="FA17" i="2"/>
  <c r="FA7" i="2"/>
  <c r="FA53" i="2"/>
  <c r="FA27" i="2"/>
  <c r="FA41" i="2"/>
  <c r="FA34" i="2"/>
  <c r="FA31" i="2"/>
  <c r="FA65" i="2"/>
  <c r="FA55" i="2"/>
  <c r="FA11" i="2"/>
  <c r="FA45" i="2"/>
  <c r="FA38" i="2"/>
  <c r="FA35" i="2"/>
  <c r="FA16" i="2"/>
  <c r="FA32" i="2"/>
  <c r="FA56" i="2"/>
  <c r="FA68" i="2"/>
  <c r="FA4" i="2"/>
  <c r="H41" i="1" s="1"/>
  <c r="FA71" i="2"/>
  <c r="FA63" i="2"/>
  <c r="FA69" i="2"/>
  <c r="FA13" i="2"/>
  <c r="FA70" i="2"/>
  <c r="FA12" i="2"/>
  <c r="FA36" i="2"/>
  <c r="FA21" i="2"/>
  <c r="FA25" i="2"/>
  <c r="FA15" i="2"/>
  <c r="FA23" i="2"/>
  <c r="FA29" i="2"/>
  <c r="FA19" i="2"/>
  <c r="FA64" i="2"/>
  <c r="FA8" i="2"/>
  <c r="B40" i="1"/>
  <c r="FA49" i="2"/>
  <c r="FA39" i="2"/>
  <c r="FA14" i="2"/>
  <c r="FA43" i="2"/>
  <c r="FA57" i="2"/>
  <c r="FA50" i="2"/>
  <c r="FA47" i="2"/>
  <c r="FA26" i="2"/>
  <c r="FA37" i="2"/>
  <c r="FA59" i="2"/>
  <c r="FA61" i="2"/>
  <c r="FA54" i="2"/>
  <c r="FA51" i="2"/>
  <c r="FA48" i="2"/>
  <c r="FA60" i="2"/>
  <c r="FA40" i="2"/>
  <c r="FA52" i="2"/>
  <c r="FA5" i="2"/>
  <c r="A7" i="1"/>
  <c r="A6" i="1"/>
  <c r="EY3" i="2" l="1"/>
  <c r="EY12" i="2"/>
  <c r="ES44" i="2"/>
  <c r="EQ47" i="2"/>
  <c r="EQ46" i="2"/>
  <c r="EW39" i="2"/>
  <c r="EY21" i="2"/>
  <c r="EO28" i="2"/>
  <c r="EO58" i="2"/>
  <c r="EW22" i="2"/>
  <c r="EW11" i="2"/>
  <c r="EW45" i="2"/>
  <c r="EW52" i="2"/>
  <c r="EY60" i="2"/>
  <c r="EY59" i="2"/>
  <c r="EW6" i="2"/>
  <c r="EW14" i="2"/>
  <c r="EW42" i="2"/>
  <c r="EW61" i="2"/>
  <c r="EW13" i="2"/>
  <c r="EW36" i="2"/>
  <c r="EY65" i="2"/>
  <c r="EY72" i="2"/>
  <c r="EY8" i="2"/>
  <c r="EY27" i="2"/>
  <c r="EY62" i="2"/>
  <c r="EY30" i="2"/>
  <c r="EY14" i="2"/>
  <c r="EO10" i="2"/>
  <c r="EO30" i="2"/>
  <c r="EO49" i="2"/>
  <c r="EO37" i="2"/>
  <c r="EO56" i="2"/>
  <c r="EO13" i="2"/>
  <c r="EO47" i="2"/>
  <c r="EO15" i="2"/>
  <c r="EQ27" i="2"/>
  <c r="EQ7" i="2"/>
  <c r="EQ58" i="2"/>
  <c r="EQ61" i="2"/>
  <c r="EQ29" i="2"/>
  <c r="EQ68" i="2"/>
  <c r="EQ36" i="2"/>
  <c r="EQ4" i="2"/>
  <c r="ES51" i="2"/>
  <c r="ES8" i="2"/>
  <c r="ES11" i="2"/>
  <c r="ES15" i="2"/>
  <c r="ES46" i="2"/>
  <c r="ES14" i="2"/>
  <c r="ES49" i="2"/>
  <c r="ES17" i="2"/>
  <c r="EW7" i="2"/>
  <c r="EW55" i="2"/>
  <c r="EW67" i="2"/>
  <c r="EW66" i="2"/>
  <c r="EW41" i="2"/>
  <c r="EW9" i="2"/>
  <c r="EW48" i="2"/>
  <c r="EW16" i="2"/>
  <c r="EY69" i="2"/>
  <c r="EY28" i="2"/>
  <c r="EY57" i="2"/>
  <c r="EY64" i="2"/>
  <c r="EY71" i="2"/>
  <c r="EY39" i="2"/>
  <c r="EY7" i="2"/>
  <c r="EY42" i="2"/>
  <c r="EY10" i="2"/>
  <c r="EO65" i="2"/>
  <c r="EO42" i="2"/>
  <c r="EO46" i="2"/>
  <c r="EO4" i="2"/>
  <c r="EO69" i="2"/>
  <c r="EO72" i="2"/>
  <c r="EO29" i="2"/>
  <c r="EO59" i="2"/>
  <c r="EO27" i="2"/>
  <c r="EQ31" i="2"/>
  <c r="EQ51" i="2"/>
  <c r="EQ55" i="2"/>
  <c r="EQ6" i="2"/>
  <c r="EQ18" i="2"/>
  <c r="EQ41" i="2"/>
  <c r="EQ9" i="2"/>
  <c r="EQ48" i="2"/>
  <c r="EQ16" i="2"/>
  <c r="ES20" i="2"/>
  <c r="ES64" i="2"/>
  <c r="ES60" i="2"/>
  <c r="ES71" i="2"/>
  <c r="ES39" i="2"/>
  <c r="ES58" i="2"/>
  <c r="ES10" i="2"/>
  <c r="ES61" i="2"/>
  <c r="ES13" i="2"/>
  <c r="EW70" i="2"/>
  <c r="EW47" i="2"/>
  <c r="EW23" i="2"/>
  <c r="EW46" i="2"/>
  <c r="EW59" i="2"/>
  <c r="EW27" i="2"/>
  <c r="EW58" i="2"/>
  <c r="EW26" i="2"/>
  <c r="EW69" i="2"/>
  <c r="EW53" i="2"/>
  <c r="EW37" i="2"/>
  <c r="EW21" i="2"/>
  <c r="EW5" i="2"/>
  <c r="EW60" i="2"/>
  <c r="EW44" i="2"/>
  <c r="EW28" i="2"/>
  <c r="EW12" i="2"/>
  <c r="EY13" i="2"/>
  <c r="EY53" i="2"/>
  <c r="EY61" i="2"/>
  <c r="EY68" i="2"/>
  <c r="EY4" i="2"/>
  <c r="EY49" i="2"/>
  <c r="EY17" i="2"/>
  <c r="EY56" i="2"/>
  <c r="EY24" i="2"/>
  <c r="EY67" i="2"/>
  <c r="EY51" i="2"/>
  <c r="EY35" i="2"/>
  <c r="EY19" i="2"/>
  <c r="EY70" i="2"/>
  <c r="EY54" i="2"/>
  <c r="EY38" i="2"/>
  <c r="EY22" i="2"/>
  <c r="EY6" i="2"/>
  <c r="EO54" i="2"/>
  <c r="EO12" i="2"/>
  <c r="EO32" i="2"/>
  <c r="EO62" i="2"/>
  <c r="EO41" i="2"/>
  <c r="EO20" i="2"/>
  <c r="EO70" i="2"/>
  <c r="EO33" i="2"/>
  <c r="EO53" i="2"/>
  <c r="EO16" i="2"/>
  <c r="EO66" i="2"/>
  <c r="EO45" i="2"/>
  <c r="EO24" i="2"/>
  <c r="EO71" i="2"/>
  <c r="EO55" i="2"/>
  <c r="EO39" i="2"/>
  <c r="EO23" i="2"/>
  <c r="EO7" i="2"/>
  <c r="EQ23" i="2"/>
  <c r="EQ14" i="2"/>
  <c r="EQ43" i="2"/>
  <c r="EQ11" i="2"/>
  <c r="EQ39" i="2"/>
  <c r="EQ54" i="2"/>
  <c r="EQ71" i="2"/>
  <c r="EQ42" i="2"/>
  <c r="EQ10" i="2"/>
  <c r="EQ53" i="2"/>
  <c r="EQ37" i="2"/>
  <c r="EQ21" i="2"/>
  <c r="EQ5" i="2"/>
  <c r="EQ60" i="2"/>
  <c r="EQ44" i="2"/>
  <c r="EQ28" i="2"/>
  <c r="EQ12" i="2"/>
  <c r="ES68" i="2"/>
  <c r="ES4" i="2"/>
  <c r="ES19" i="2"/>
  <c r="ES56" i="2"/>
  <c r="ES24" i="2"/>
  <c r="ES36" i="2"/>
  <c r="ES35" i="2"/>
  <c r="ES63" i="2"/>
  <c r="ES31" i="2"/>
  <c r="ES70" i="2"/>
  <c r="ES54" i="2"/>
  <c r="ES38" i="2"/>
  <c r="ES22" i="2"/>
  <c r="ES6" i="2"/>
  <c r="ES57" i="2"/>
  <c r="ES41" i="2"/>
  <c r="ES25" i="2"/>
  <c r="ES9" i="2"/>
  <c r="EW3" i="2"/>
  <c r="EW15" i="2"/>
  <c r="EW43" i="2"/>
  <c r="EW10" i="2"/>
  <c r="EW29" i="2"/>
  <c r="EW68" i="2"/>
  <c r="EW20" i="2"/>
  <c r="EW4" i="2"/>
  <c r="EY36" i="2"/>
  <c r="EY33" i="2"/>
  <c r="EY40" i="2"/>
  <c r="EY43" i="2"/>
  <c r="EY11" i="2"/>
  <c r="EY46" i="2"/>
  <c r="EO52" i="2"/>
  <c r="EO9" i="2"/>
  <c r="EO6" i="2"/>
  <c r="EO3" i="2"/>
  <c r="EO34" i="2"/>
  <c r="EO63" i="2"/>
  <c r="EO31" i="2"/>
  <c r="EQ59" i="2"/>
  <c r="EQ63" i="2"/>
  <c r="EQ22" i="2"/>
  <c r="EQ26" i="2"/>
  <c r="EQ45" i="2"/>
  <c r="EQ13" i="2"/>
  <c r="EQ52" i="2"/>
  <c r="EQ20" i="2"/>
  <c r="ES72" i="2"/>
  <c r="ES40" i="2"/>
  <c r="ES12" i="2"/>
  <c r="ES47" i="2"/>
  <c r="ES62" i="2"/>
  <c r="ES30" i="2"/>
  <c r="ES65" i="2"/>
  <c r="ES33" i="2"/>
  <c r="EW63" i="2"/>
  <c r="EW62" i="2"/>
  <c r="EW35" i="2"/>
  <c r="EW34" i="2"/>
  <c r="EW57" i="2"/>
  <c r="EW25" i="2"/>
  <c r="EW64" i="2"/>
  <c r="EW32" i="2"/>
  <c r="EY45" i="2"/>
  <c r="EY5" i="2"/>
  <c r="EY20" i="2"/>
  <c r="EY25" i="2"/>
  <c r="EY32" i="2"/>
  <c r="EY55" i="2"/>
  <c r="EY23" i="2"/>
  <c r="EY58" i="2"/>
  <c r="EY26" i="2"/>
  <c r="EO22" i="2"/>
  <c r="EO68" i="2"/>
  <c r="EO25" i="2"/>
  <c r="EO44" i="2"/>
  <c r="EO26" i="2"/>
  <c r="EO50" i="2"/>
  <c r="EO8" i="2"/>
  <c r="EO43" i="2"/>
  <c r="EO11" i="2"/>
  <c r="EQ30" i="2"/>
  <c r="EQ19" i="2"/>
  <c r="EQ62" i="2"/>
  <c r="EQ50" i="2"/>
  <c r="EQ57" i="2"/>
  <c r="EQ25" i="2"/>
  <c r="EQ64" i="2"/>
  <c r="EQ32" i="2"/>
  <c r="ES43" i="2"/>
  <c r="ES32" i="2"/>
  <c r="ES59" i="2"/>
  <c r="ES7" i="2"/>
  <c r="ES42" i="2"/>
  <c r="ES26" i="2"/>
  <c r="ES45" i="2"/>
  <c r="ES29" i="2"/>
  <c r="EW71" i="2"/>
  <c r="EW38" i="2"/>
  <c r="EW31" i="2"/>
  <c r="EW54" i="2"/>
  <c r="EW30" i="2"/>
  <c r="EW51" i="2"/>
  <c r="EW19" i="2"/>
  <c r="EW50" i="2"/>
  <c r="EW18" i="2"/>
  <c r="EW65" i="2"/>
  <c r="EW49" i="2"/>
  <c r="EW33" i="2"/>
  <c r="EW17" i="2"/>
  <c r="EW72" i="2"/>
  <c r="EW56" i="2"/>
  <c r="EW40" i="2"/>
  <c r="EW24" i="2"/>
  <c r="EW8" i="2"/>
  <c r="EY44" i="2"/>
  <c r="EY37" i="2"/>
  <c r="EY29" i="2"/>
  <c r="EY52" i="2"/>
  <c r="G41" i="1"/>
  <c r="EY41" i="2"/>
  <c r="EY9" i="2"/>
  <c r="EY48" i="2"/>
  <c r="EY16" i="2"/>
  <c r="EY63" i="2"/>
  <c r="EY47" i="2"/>
  <c r="EY31" i="2"/>
  <c r="EY15" i="2"/>
  <c r="EY66" i="2"/>
  <c r="EY50" i="2"/>
  <c r="EY34" i="2"/>
  <c r="EY18" i="2"/>
  <c r="EO38" i="2"/>
  <c r="EO64" i="2"/>
  <c r="EO21" i="2"/>
  <c r="EO57" i="2"/>
  <c r="EO36" i="2"/>
  <c r="EO14" i="2"/>
  <c r="EO60" i="2"/>
  <c r="EO17" i="2"/>
  <c r="EO48" i="2"/>
  <c r="EO5" i="2"/>
  <c r="EO61" i="2"/>
  <c r="EO40" i="2"/>
  <c r="EO18" i="2"/>
  <c r="EO67" i="2"/>
  <c r="EO51" i="2"/>
  <c r="EO35" i="2"/>
  <c r="EO19" i="2"/>
  <c r="EQ70" i="2"/>
  <c r="EQ69" i="2"/>
  <c r="EQ67" i="2"/>
  <c r="EQ35" i="2"/>
  <c r="EQ3" i="2"/>
  <c r="C41" i="1" s="1"/>
  <c r="EQ15" i="2"/>
  <c r="EQ38" i="2"/>
  <c r="EQ66" i="2"/>
  <c r="EQ34" i="2"/>
  <c r="EQ65" i="2"/>
  <c r="EQ49" i="2"/>
  <c r="EQ33" i="2"/>
  <c r="EQ17" i="2"/>
  <c r="EQ72" i="2"/>
  <c r="EQ56" i="2"/>
  <c r="EQ40" i="2"/>
  <c r="EQ24" i="2"/>
  <c r="EQ8" i="2"/>
  <c r="ES52" i="2"/>
  <c r="ES67" i="2"/>
  <c r="ES3" i="2"/>
  <c r="D41" i="1" s="1"/>
  <c r="ES48" i="2"/>
  <c r="ES16" i="2"/>
  <c r="ES28" i="2"/>
  <c r="ES27" i="2"/>
  <c r="ES55" i="2"/>
  <c r="ES23" i="2"/>
  <c r="ES66" i="2"/>
  <c r="ES50" i="2"/>
  <c r="ES34" i="2"/>
  <c r="ES18" i="2"/>
  <c r="ES69" i="2"/>
  <c r="ES53" i="2"/>
  <c r="ES37" i="2"/>
  <c r="ES21" i="2"/>
  <c r="ES5" i="2"/>
  <c r="A5" i="1"/>
  <c r="A4" i="1"/>
  <c r="B41" i="1" l="1"/>
  <c r="F41" i="1"/>
  <c r="H5" i="1"/>
  <c r="A23" i="1"/>
  <c r="A22" i="1"/>
  <c r="A21" i="1"/>
  <c r="A20" i="1"/>
  <c r="A18" i="1"/>
  <c r="A14" i="1"/>
  <c r="F40" i="1" l="1"/>
  <c r="G40" i="1"/>
  <c r="E14" i="1"/>
  <c r="I14" i="1"/>
  <c r="I13" i="1"/>
  <c r="I29" i="1"/>
  <c r="I30" i="1"/>
  <c r="I31" i="1"/>
  <c r="I32" i="1"/>
  <c r="I36" i="1"/>
  <c r="E29" i="1"/>
  <c r="E30" i="1"/>
  <c r="E36" i="1"/>
  <c r="I39" i="1" l="1"/>
  <c r="I38" i="1"/>
  <c r="H40" i="1"/>
  <c r="J36" i="1"/>
  <c r="J32" i="1"/>
  <c r="J31" i="1"/>
  <c r="J30" i="1"/>
  <c r="J29" i="1"/>
  <c r="J14" i="1"/>
  <c r="FB7" i="2" l="1"/>
  <c r="FB11" i="2"/>
  <c r="FB15" i="2"/>
  <c r="FB19" i="2"/>
  <c r="FB23" i="2"/>
  <c r="FB27" i="2"/>
  <c r="FB31" i="2"/>
  <c r="FB35" i="2"/>
  <c r="FB39" i="2"/>
  <c r="FB43" i="2"/>
  <c r="FB47" i="2"/>
  <c r="FB51" i="2"/>
  <c r="FB55" i="2"/>
  <c r="FB59" i="2"/>
  <c r="FB63" i="2"/>
  <c r="FB67" i="2"/>
  <c r="FB71" i="2"/>
  <c r="FB4" i="2"/>
  <c r="FB8" i="2"/>
  <c r="FB12" i="2"/>
  <c r="FB16" i="2"/>
  <c r="FB20" i="2"/>
  <c r="FB24" i="2"/>
  <c r="FB28" i="2"/>
  <c r="FB32" i="2"/>
  <c r="FB36" i="2"/>
  <c r="FB40" i="2"/>
  <c r="FB44" i="2"/>
  <c r="FB48" i="2"/>
  <c r="FB52" i="2"/>
  <c r="FB56" i="2"/>
  <c r="FB60" i="2"/>
  <c r="FB64" i="2"/>
  <c r="FB68" i="2"/>
  <c r="FB72" i="2"/>
  <c r="FB5" i="2"/>
  <c r="FB9" i="2"/>
  <c r="FB13" i="2"/>
  <c r="FB17" i="2"/>
  <c r="FB21" i="2"/>
  <c r="FB25" i="2"/>
  <c r="FB29" i="2"/>
  <c r="FB33" i="2"/>
  <c r="FB37" i="2"/>
  <c r="FB41" i="2"/>
  <c r="FB45" i="2"/>
  <c r="FB49" i="2"/>
  <c r="FB53" i="2"/>
  <c r="FB57" i="2"/>
  <c r="FB61" i="2"/>
  <c r="FB65" i="2"/>
  <c r="FB69" i="2"/>
  <c r="FB3" i="2"/>
  <c r="FB6" i="2"/>
  <c r="FB22" i="2"/>
  <c r="FB38" i="2"/>
  <c r="FB54" i="2"/>
  <c r="FB70" i="2"/>
  <c r="FB34" i="2"/>
  <c r="FB10" i="2"/>
  <c r="FB26" i="2"/>
  <c r="FB42" i="2"/>
  <c r="FB58" i="2"/>
  <c r="FB18" i="2"/>
  <c r="FB14" i="2"/>
  <c r="FB30" i="2"/>
  <c r="FB46" i="2"/>
  <c r="FB62" i="2"/>
  <c r="FB50" i="2"/>
  <c r="FB66" i="2"/>
  <c r="I40" i="1"/>
  <c r="D40" i="1"/>
  <c r="E13" i="1"/>
  <c r="E38" i="1" l="1"/>
  <c r="E39" i="1"/>
  <c r="FC5" i="2"/>
  <c r="FC21" i="2"/>
  <c r="FC3" i="2"/>
  <c r="FC9" i="2"/>
  <c r="FC63" i="2"/>
  <c r="FC31" i="2"/>
  <c r="FC15" i="2"/>
  <c r="FC66" i="2"/>
  <c r="FC50" i="2"/>
  <c r="FC34" i="2"/>
  <c r="FC18" i="2"/>
  <c r="FC52" i="2"/>
  <c r="FC29" i="2"/>
  <c r="FC68" i="2"/>
  <c r="FC44" i="2"/>
  <c r="FC65" i="2"/>
  <c r="FC33" i="2"/>
  <c r="FC72" i="2"/>
  <c r="FC40" i="2"/>
  <c r="FC8" i="2"/>
  <c r="FC59" i="2"/>
  <c r="FC43" i="2"/>
  <c r="FC27" i="2"/>
  <c r="FC11" i="2"/>
  <c r="FC62" i="2"/>
  <c r="FC46" i="2"/>
  <c r="FC30" i="2"/>
  <c r="FC14" i="2"/>
  <c r="FC48" i="2"/>
  <c r="FC69" i="2"/>
  <c r="FC36" i="2"/>
  <c r="FC57" i="2"/>
  <c r="FC32" i="2"/>
  <c r="FC71" i="2"/>
  <c r="FC55" i="2"/>
  <c r="FC39" i="2"/>
  <c r="FC23" i="2"/>
  <c r="FC7" i="2"/>
  <c r="FC58" i="2"/>
  <c r="FC42" i="2"/>
  <c r="FC26" i="2"/>
  <c r="FC10" i="2"/>
  <c r="E40" i="1"/>
  <c r="FC45" i="2"/>
  <c r="FC60" i="2"/>
  <c r="FC41" i="2"/>
  <c r="FC16" i="2"/>
  <c r="FC47" i="2"/>
  <c r="FC20" i="2"/>
  <c r="FC13" i="2"/>
  <c r="FC28" i="2"/>
  <c r="FC25" i="2"/>
  <c r="FC64" i="2"/>
  <c r="FC37" i="2"/>
  <c r="FC61" i="2"/>
  <c r="FC53" i="2"/>
  <c r="FC4" i="2"/>
  <c r="FC12" i="2"/>
  <c r="FC49" i="2"/>
  <c r="FC17" i="2"/>
  <c r="FC56" i="2"/>
  <c r="FC24" i="2"/>
  <c r="FC67" i="2"/>
  <c r="FC51" i="2"/>
  <c r="FC35" i="2"/>
  <c r="FC19" i="2"/>
  <c r="FC70" i="2"/>
  <c r="FC54" i="2"/>
  <c r="FC38" i="2"/>
  <c r="FC22" i="2"/>
  <c r="FC6" i="2"/>
  <c r="J13" i="1"/>
  <c r="J38" i="1" l="1"/>
  <c r="FD3" i="2" s="1"/>
  <c r="J39" i="1"/>
  <c r="I41" i="1"/>
  <c r="ET5" i="2"/>
  <c r="ET9" i="2"/>
  <c r="ET13" i="2"/>
  <c r="ET17" i="2"/>
  <c r="ET21" i="2"/>
  <c r="ET25" i="2"/>
  <c r="ET29" i="2"/>
  <c r="ET33" i="2"/>
  <c r="ET37" i="2"/>
  <c r="ET41" i="2"/>
  <c r="ET45" i="2"/>
  <c r="ET49" i="2"/>
  <c r="ET53" i="2"/>
  <c r="ET57" i="2"/>
  <c r="ET6" i="2"/>
  <c r="ET10" i="2"/>
  <c r="ET14" i="2"/>
  <c r="ET18" i="2"/>
  <c r="ET22" i="2"/>
  <c r="ET26" i="2"/>
  <c r="ET30" i="2"/>
  <c r="ET34" i="2"/>
  <c r="ET38" i="2"/>
  <c r="ET42" i="2"/>
  <c r="ET46" i="2"/>
  <c r="ET50" i="2"/>
  <c r="ET54" i="2"/>
  <c r="ET58" i="2"/>
  <c r="ET7" i="2"/>
  <c r="ET11" i="2"/>
  <c r="ET15" i="2"/>
  <c r="ET19" i="2"/>
  <c r="ET23" i="2"/>
  <c r="ET27" i="2"/>
  <c r="ET31" i="2"/>
  <c r="ET35" i="2"/>
  <c r="ET39" i="2"/>
  <c r="ET43" i="2"/>
  <c r="ET47" i="2"/>
  <c r="ET51" i="2"/>
  <c r="ET55" i="2"/>
  <c r="ET59" i="2"/>
  <c r="ET12" i="2"/>
  <c r="ET28" i="2"/>
  <c r="ET44" i="2"/>
  <c r="ET60" i="2"/>
  <c r="ET64" i="2"/>
  <c r="ET68" i="2"/>
  <c r="ET72" i="2"/>
  <c r="ET16" i="2"/>
  <c r="ET32" i="2"/>
  <c r="ET48" i="2"/>
  <c r="ET61" i="2"/>
  <c r="ET65" i="2"/>
  <c r="ET69" i="2"/>
  <c r="ET3" i="2"/>
  <c r="ET4" i="2"/>
  <c r="ET20" i="2"/>
  <c r="ET36" i="2"/>
  <c r="ET52" i="2"/>
  <c r="ET62" i="2"/>
  <c r="ET66" i="2"/>
  <c r="ET70" i="2"/>
  <c r="ET56" i="2"/>
  <c r="ET8" i="2"/>
  <c r="ET63" i="2"/>
  <c r="ET40" i="2"/>
  <c r="ET24" i="2"/>
  <c r="ET67" i="2"/>
  <c r="ET71" i="2"/>
  <c r="FD12" i="2"/>
  <c r="FD28" i="2"/>
  <c r="FD44" i="2"/>
  <c r="FD60" i="2"/>
  <c r="FD9" i="2"/>
  <c r="FD25" i="2"/>
  <c r="FD41" i="2"/>
  <c r="FD57" i="2"/>
  <c r="FD5" i="2"/>
  <c r="FD38" i="2"/>
  <c r="FD70" i="2"/>
  <c r="FD31" i="2"/>
  <c r="FD63" i="2"/>
  <c r="FD50" i="2"/>
  <c r="FD59" i="2"/>
  <c r="FD67" i="2"/>
  <c r="FD27" i="2"/>
  <c r="EU67" i="2" l="1"/>
  <c r="EU71" i="2"/>
  <c r="EU12" i="2"/>
  <c r="FD11" i="2"/>
  <c r="FD34" i="2"/>
  <c r="FD23" i="2"/>
  <c r="FD62" i="2"/>
  <c r="FD30" i="2"/>
  <c r="FD69" i="2"/>
  <c r="FD53" i="2"/>
  <c r="FD37" i="2"/>
  <c r="FD21" i="2"/>
  <c r="FD72" i="2"/>
  <c r="FD56" i="2"/>
  <c r="FD40" i="2"/>
  <c r="FD24" i="2"/>
  <c r="FD8" i="2"/>
  <c r="EU8" i="2"/>
  <c r="EU62" i="2"/>
  <c r="EU46" i="2"/>
  <c r="EU14" i="2"/>
  <c r="EU21" i="2"/>
  <c r="FD58" i="2"/>
  <c r="FD51" i="2"/>
  <c r="FD55" i="2"/>
  <c r="FD10" i="2"/>
  <c r="FD18" i="2"/>
  <c r="FD47" i="2"/>
  <c r="FD15" i="2"/>
  <c r="FD54" i="2"/>
  <c r="FD22" i="2"/>
  <c r="FD65" i="2"/>
  <c r="FD49" i="2"/>
  <c r="FD33" i="2"/>
  <c r="FD17" i="2"/>
  <c r="FD68" i="2"/>
  <c r="FD52" i="2"/>
  <c r="FD36" i="2"/>
  <c r="FD20" i="2"/>
  <c r="FD7" i="2"/>
  <c r="FE59" i="2" s="1"/>
  <c r="EU54" i="2"/>
  <c r="FD4" i="2"/>
  <c r="FE31" i="2" s="1"/>
  <c r="FD42" i="2"/>
  <c r="FD35" i="2"/>
  <c r="FD43" i="2"/>
  <c r="FD26" i="2"/>
  <c r="FD19" i="2"/>
  <c r="FD66" i="2"/>
  <c r="FD71" i="2"/>
  <c r="FD39" i="2"/>
  <c r="FD6" i="2"/>
  <c r="FD46" i="2"/>
  <c r="FD14" i="2"/>
  <c r="FD61" i="2"/>
  <c r="FD45" i="2"/>
  <c r="FD29" i="2"/>
  <c r="FD13" i="2"/>
  <c r="FD64" i="2"/>
  <c r="FD48" i="2"/>
  <c r="FD32" i="2"/>
  <c r="FD16" i="2"/>
  <c r="EU37" i="2"/>
  <c r="J40" i="1"/>
  <c r="EU47" i="2"/>
  <c r="EU72" i="2"/>
  <c r="EU39" i="2"/>
  <c r="EU7" i="2"/>
  <c r="EU70" i="2"/>
  <c r="EU35" i="2"/>
  <c r="EU6" i="2"/>
  <c r="EU61" i="2"/>
  <c r="EU55" i="2"/>
  <c r="EU23" i="2"/>
  <c r="EU30" i="2"/>
  <c r="EU53" i="2"/>
  <c r="EU5" i="2"/>
  <c r="EU58" i="2"/>
  <c r="EU13" i="2"/>
  <c r="EU4" i="2"/>
  <c r="EU44" i="2"/>
  <c r="EU20" i="2"/>
  <c r="EU27" i="2"/>
  <c r="EU66" i="2"/>
  <c r="EU33" i="2"/>
  <c r="EU40" i="2"/>
  <c r="EU18" i="2"/>
  <c r="EU28" i="2"/>
  <c r="EU41" i="2"/>
  <c r="EU16" i="2"/>
  <c r="EU22" i="2"/>
  <c r="EU36" i="2"/>
  <c r="EU45" i="2"/>
  <c r="EU42" i="2"/>
  <c r="EU43" i="2"/>
  <c r="EU49" i="2"/>
  <c r="EU59" i="2"/>
  <c r="EU56" i="2"/>
  <c r="EU32" i="2"/>
  <c r="EU15" i="2"/>
  <c r="EU60" i="2"/>
  <c r="EU69" i="2"/>
  <c r="EU9" i="2"/>
  <c r="EU63" i="2"/>
  <c r="EU29" i="2"/>
  <c r="EU34" i="2"/>
  <c r="EU48" i="2"/>
  <c r="EU57" i="2"/>
  <c r="EU25" i="2"/>
  <c r="EU65" i="2"/>
  <c r="EU52" i="2"/>
  <c r="EU51" i="2"/>
  <c r="EU10" i="2"/>
  <c r="EU31" i="2"/>
  <c r="EU38" i="2"/>
  <c r="EU26" i="2"/>
  <c r="EU24" i="2"/>
  <c r="EU19" i="2"/>
  <c r="EU64" i="2"/>
  <c r="EU3" i="2"/>
  <c r="EU17" i="2"/>
  <c r="EU50" i="2"/>
  <c r="EU68" i="2"/>
  <c r="EU11" i="2"/>
  <c r="FE27" i="2"/>
  <c r="FE70" i="2"/>
  <c r="FE38" i="2"/>
  <c r="FE61" i="2"/>
  <c r="FE29" i="2"/>
  <c r="FE64" i="2"/>
  <c r="FE32" i="2"/>
  <c r="FE58" i="2"/>
  <c r="FE51" i="2"/>
  <c r="FE11" i="2"/>
  <c r="FE34" i="2"/>
  <c r="FE55" i="2"/>
  <c r="FE23" i="2"/>
  <c r="FE62" i="2"/>
  <c r="FE30" i="2"/>
  <c r="FE57" i="2"/>
  <c r="FE41" i="2"/>
  <c r="FE25" i="2"/>
  <c r="FE9" i="2"/>
  <c r="FE60" i="2"/>
  <c r="FE44" i="2"/>
  <c r="FE28" i="2"/>
  <c r="FE12" i="2"/>
  <c r="FE10" i="2"/>
  <c r="FE47" i="2"/>
  <c r="FE22" i="2"/>
  <c r="FE53" i="2"/>
  <c r="FE72" i="2"/>
  <c r="FE8" i="2"/>
  <c r="FE67" i="2"/>
  <c r="FE50" i="2"/>
  <c r="FE5" i="2"/>
  <c r="FE45" i="2"/>
  <c r="FE13" i="2"/>
  <c r="FE48" i="2"/>
  <c r="FE16" i="2"/>
  <c r="FE3" i="2"/>
  <c r="FE4" i="2"/>
  <c r="FE42" i="2"/>
  <c r="FE35" i="2"/>
  <c r="FE18" i="2"/>
  <c r="FE15" i="2"/>
  <c r="FE54" i="2"/>
  <c r="FE69" i="2"/>
  <c r="FE37" i="2"/>
  <c r="FE21" i="2"/>
  <c r="FE56" i="2"/>
  <c r="FE40" i="2"/>
  <c r="FE24" i="2"/>
  <c r="FE43" i="2"/>
  <c r="FE26" i="2"/>
  <c r="FE19" i="2"/>
  <c r="FE66" i="2"/>
  <c r="FE71" i="2"/>
  <c r="FE39" i="2"/>
  <c r="FE6" i="2"/>
  <c r="FE46" i="2"/>
  <c r="FE14" i="2"/>
  <c r="FE65" i="2"/>
  <c r="FE49" i="2"/>
  <c r="FE33" i="2"/>
  <c r="FE17" i="2"/>
  <c r="FE68" i="2"/>
  <c r="FE52" i="2"/>
  <c r="FE36" i="2"/>
  <c r="FE20" i="2"/>
  <c r="FE7" i="2"/>
  <c r="FE63" i="2" l="1"/>
  <c r="E41" i="1"/>
  <c r="J41" i="1"/>
</calcChain>
</file>

<file path=xl/sharedStrings.xml><?xml version="1.0" encoding="utf-8"?>
<sst xmlns="http://schemas.openxmlformats.org/spreadsheetml/2006/main" count="310" uniqueCount="133">
  <si>
    <t>BRANCHES</t>
  </si>
  <si>
    <t>PREMIER SEMESTRE</t>
  </si>
  <si>
    <t>TR. JOURNAL.</t>
  </si>
  <si>
    <t>1è P</t>
  </si>
  <si>
    <t>2è P</t>
  </si>
  <si>
    <t>EXAM</t>
  </si>
  <si>
    <t>TOT</t>
  </si>
  <si>
    <t>SECOND SEMESTRE</t>
  </si>
  <si>
    <t>3è P</t>
  </si>
  <si>
    <t>4è P</t>
  </si>
  <si>
    <t>%</t>
  </si>
  <si>
    <t>EXAMEN DE
REPECHAGE</t>
  </si>
  <si>
    <t>MAXIMA</t>
  </si>
  <si>
    <t>N° ID</t>
  </si>
  <si>
    <t>T.G</t>
  </si>
  <si>
    <t>Religion</t>
  </si>
  <si>
    <t>Education à la vie</t>
  </si>
  <si>
    <t>Anglais</t>
  </si>
  <si>
    <t>Mathématiques</t>
  </si>
  <si>
    <t>Français</t>
  </si>
  <si>
    <t>MAXIMA GENERAUX</t>
  </si>
  <si>
    <t>TOTAUX</t>
  </si>
  <si>
    <t>POURCETAGE</t>
  </si>
  <si>
    <t>PLACE / NBRE D'ELEVES</t>
  </si>
  <si>
    <t>APPLICATION</t>
  </si>
  <si>
    <t>Signature du responsable</t>
  </si>
  <si>
    <t>CONDUITE</t>
  </si>
  <si>
    <t>Signature Prof.</t>
  </si>
  <si>
    <t>- ne pourra passer dans la classe supérieur que s'il n'a subi avec succès un examen de repechage en….....................................
…………………………………………………………………………………………………………..………………….…...........(1)
- L'élève passe dans la classe supérieure (1)
- L'élève double la classe (2)                                                                           Fait à...................................., le......./........20......
          Signature de l'élève                                 Sceau de l'école                                   Le Chef d'Etablissement
                                                                                                                                                    Nom et Signature</t>
  </si>
  <si>
    <t>SEXE</t>
  </si>
  <si>
    <t>DATE DE NAISS</t>
  </si>
  <si>
    <t>CLASSE</t>
  </si>
  <si>
    <t>VILLE</t>
  </si>
  <si>
    <t>COMMUNE</t>
  </si>
  <si>
    <t>PROVINCE</t>
  </si>
  <si>
    <t>ECOLE</t>
  </si>
  <si>
    <t>CODE</t>
  </si>
  <si>
    <t>N° PERM</t>
  </si>
  <si>
    <t>Ed. Civ &amp; Morale</t>
  </si>
  <si>
    <t>NOMS</t>
  </si>
  <si>
    <t>KASONGO MWANZA Marcel</t>
  </si>
  <si>
    <t>KALALA MUSANGU Chris</t>
  </si>
  <si>
    <t>1er</t>
  </si>
  <si>
    <t>2èP</t>
  </si>
  <si>
    <t>3èP</t>
  </si>
  <si>
    <t>4èP</t>
  </si>
  <si>
    <t>CO1111</t>
  </si>
  <si>
    <t>CO1112</t>
  </si>
  <si>
    <t>CO1113</t>
  </si>
  <si>
    <t>CO1114</t>
  </si>
  <si>
    <t>CO1115</t>
  </si>
  <si>
    <t>CO1116</t>
  </si>
  <si>
    <t>CO1117</t>
  </si>
  <si>
    <t>CO1118</t>
  </si>
  <si>
    <t>MASENGO MUKENDI Rachel</t>
  </si>
  <si>
    <t>KALABA KAMBA Chadrack</t>
  </si>
  <si>
    <t>MULANGA MUSWAMBA Ane</t>
  </si>
  <si>
    <t>MWAMBA BUKASA Jethro</t>
  </si>
  <si>
    <t>MALABAR KASONGO Ruth</t>
  </si>
  <si>
    <t>MUTOMBA KAZADI Evodie</t>
  </si>
  <si>
    <t>M</t>
  </si>
  <si>
    <t>F</t>
  </si>
  <si>
    <t>PERM01</t>
  </si>
  <si>
    <t>PERM02</t>
  </si>
  <si>
    <t>PERM04</t>
  </si>
  <si>
    <t>PERM06</t>
  </si>
  <si>
    <t>PERM03</t>
  </si>
  <si>
    <t>PERM05</t>
  </si>
  <si>
    <t>PERM07</t>
  </si>
  <si>
    <t>PERM08</t>
  </si>
  <si>
    <t>Lubumbashi</t>
  </si>
  <si>
    <t>Lualaba</t>
  </si>
  <si>
    <t>Haut-Katanga</t>
  </si>
  <si>
    <t>Haut-Lomami</t>
  </si>
  <si>
    <t>Equateur</t>
  </si>
  <si>
    <t>Tanganika</t>
  </si>
  <si>
    <t>Annexe</t>
  </si>
  <si>
    <t>Ruashi</t>
  </si>
  <si>
    <t>Kampemba</t>
  </si>
  <si>
    <t>Kamalondo</t>
  </si>
  <si>
    <t>Katuba</t>
  </si>
  <si>
    <t>C.S EXCEL</t>
  </si>
  <si>
    <t>KALENGA BUKASA</t>
  </si>
  <si>
    <t>CO1119</t>
  </si>
  <si>
    <t>PERM09</t>
  </si>
  <si>
    <t>Chris</t>
  </si>
  <si>
    <t>Marcel</t>
  </si>
  <si>
    <t>Rachel</t>
  </si>
  <si>
    <t>Chadrack</t>
  </si>
  <si>
    <t>Ane</t>
  </si>
  <si>
    <t>Jethro</t>
  </si>
  <si>
    <t>Ruth</t>
  </si>
  <si>
    <t>Evodie</t>
  </si>
  <si>
    <t>N°</t>
  </si>
  <si>
    <t>Jonas</t>
  </si>
  <si>
    <t>Gad</t>
  </si>
  <si>
    <t>Xavier</t>
  </si>
  <si>
    <t>Ssila</t>
  </si>
  <si>
    <t>Jacques</t>
  </si>
  <si>
    <t>Hélène</t>
  </si>
  <si>
    <t>Vanessa</t>
  </si>
  <si>
    <t>Pascaline</t>
  </si>
  <si>
    <t>EX</t>
  </si>
  <si>
    <t>Dessin</t>
  </si>
  <si>
    <t>Histoire</t>
  </si>
  <si>
    <t>Chimie</t>
  </si>
  <si>
    <t>Physique</t>
  </si>
  <si>
    <t>- PASSE (1)
- DOUBLE (1)
       LE……../……/ 20…...
      Le Chef d'Etablissement
             Sceau de l'école</t>
  </si>
  <si>
    <t>Informatique</t>
  </si>
  <si>
    <t>KAZADI MWAMBA</t>
  </si>
  <si>
    <t>2eP</t>
  </si>
  <si>
    <t>1er P</t>
  </si>
  <si>
    <t>ex 1er S</t>
  </si>
  <si>
    <t>3e P</t>
  </si>
  <si>
    <t>4e P</t>
  </si>
  <si>
    <t>Ex 2è S</t>
  </si>
  <si>
    <t>classement ou proclammation</t>
  </si>
  <si>
    <t>REPUBLIQUE DEMOCRATIQUE DU CONGO
MINISTERE DE L'ENSEIGNEMENT PRIMAIRE, SECONDAIRE
ET TECHNIQUE</t>
  </si>
  <si>
    <t>TOT 1er S</t>
  </si>
  <si>
    <t>TOT 2e S</t>
  </si>
  <si>
    <t>Langues nationales</t>
  </si>
  <si>
    <t>Pédagogie</t>
  </si>
  <si>
    <t>Psychologie</t>
  </si>
  <si>
    <t>Education physique</t>
  </si>
  <si>
    <t>Economie politique</t>
  </si>
  <si>
    <t>Education music. /Théatrale</t>
  </si>
  <si>
    <t>Geographie</t>
  </si>
  <si>
    <t>Microbiologie</t>
  </si>
  <si>
    <t>Didactiques des disciplines</t>
  </si>
  <si>
    <t>Didactique générale</t>
  </si>
  <si>
    <t>Travail manuel / Ecriture</t>
  </si>
  <si>
    <t>2ème H.P</t>
  </si>
  <si>
    <t>BULLETIN DE LA 2ème  ANNEE HUMANITE PEDAGOGIE GENERALE     ANNEE SCOLAIRE 20….. - 20…..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</si>
</sst>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1240C]d\ mmmm\ yyyy;@"/>
  </numFmts>
  <fonts count="2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9"/>
      <color theme="1"/>
      <name val="Times New Roman"/>
      <family val="1"/>
    </font>
    <font>
      <b/>
      <sz val="7"/>
      <color theme="1"/>
      <name val="Times New Roman"/>
      <family val="1"/>
    </font>
    <font>
      <b/>
      <sz val="10.5"/>
      <color theme="1"/>
      <name val="Times New Roman"/>
      <family val="1"/>
    </font>
    <font>
      <b/>
      <sz val="11"/>
      <color theme="1"/>
      <name val="Rockwell Condensed"/>
      <family val="1"/>
    </font>
    <font>
      <b/>
      <sz val="12"/>
      <color theme="1"/>
      <name val="Bodoni MT Condensed"/>
      <family val="1"/>
    </font>
    <font>
      <sz val="11"/>
      <color rgb="FFFFFF00"/>
      <name val="Calibri"/>
      <family val="2"/>
      <scheme val="minor"/>
    </font>
    <font>
      <b/>
      <sz val="12"/>
      <color rgb="FFFFFF00"/>
      <name val="Agency FB"/>
      <family val="2"/>
    </font>
    <font>
      <b/>
      <sz val="14"/>
      <color theme="1"/>
      <name val="Bodoni MT Condensed"/>
      <family val="1"/>
    </font>
    <font>
      <sz val="11"/>
      <color theme="1"/>
      <name val="Cambria"/>
      <family val="1"/>
    </font>
    <font>
      <b/>
      <sz val="11"/>
      <color rgb="FF002060"/>
      <name val="Times New Roman"/>
      <family val="1"/>
    </font>
    <font>
      <b/>
      <sz val="11"/>
      <color rgb="FF00B050"/>
      <name val="Times New Roman"/>
      <family val="1"/>
    </font>
    <font>
      <b/>
      <sz val="11"/>
      <color theme="5" tint="-0.499984740745262"/>
      <name val="Times New Roman"/>
      <family val="1"/>
    </font>
    <font>
      <b/>
      <sz val="11"/>
      <color theme="8" tint="-0.499984740745262"/>
      <name val="Times New Roman"/>
      <family val="1"/>
    </font>
    <font>
      <sz val="14"/>
      <color theme="1"/>
      <name val="Arial Black"/>
      <family val="2"/>
    </font>
    <font>
      <b/>
      <sz val="12"/>
      <color rgb="FFFFFF00"/>
      <name val="Cambria"/>
      <family val="1"/>
    </font>
    <font>
      <sz val="10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-0.249977111117893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theme="0"/>
      </right>
      <top style="thick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ck">
        <color indexed="64"/>
      </top>
      <bottom style="thick">
        <color indexed="64"/>
      </bottom>
      <diagonal/>
    </border>
    <border>
      <left/>
      <right style="thin">
        <color theme="0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10" fillId="3" borderId="0" xfId="0" applyFont="1" applyFill="1"/>
    <xf numFmtId="0" fontId="10" fillId="3" borderId="1" xfId="0" applyFont="1" applyFill="1" applyBorder="1"/>
    <xf numFmtId="0" fontId="10" fillId="3" borderId="6" xfId="0" applyFont="1" applyFill="1" applyBorder="1"/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3" fillId="0" borderId="1" xfId="0" applyFont="1" applyBorder="1"/>
    <xf numFmtId="0" fontId="13" fillId="0" borderId="1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1" fillId="3" borderId="26" xfId="0" applyFont="1" applyFill="1" applyBorder="1" applyAlignment="1">
      <alignment horizontal="center" vertical="center"/>
    </xf>
    <xf numFmtId="0" fontId="11" fillId="3" borderId="27" xfId="0" applyFont="1" applyFill="1" applyBorder="1" applyAlignment="1">
      <alignment horizontal="center" vertical="center"/>
    </xf>
    <xf numFmtId="0" fontId="11" fillId="6" borderId="27" xfId="0" applyFont="1" applyFill="1" applyBorder="1" applyAlignment="1">
      <alignment horizontal="center" vertical="center"/>
    </xf>
    <xf numFmtId="0" fontId="11" fillId="6" borderId="28" xfId="0" applyFont="1" applyFill="1" applyBorder="1" applyAlignment="1">
      <alignment horizontal="center" vertical="center"/>
    </xf>
    <xf numFmtId="0" fontId="16" fillId="2" borderId="1" xfId="0" applyFont="1" applyFill="1" applyBorder="1" applyAlignment="1" applyProtection="1">
      <alignment horizontal="left" indent="9"/>
    </xf>
    <xf numFmtId="0" fontId="3" fillId="0" borderId="1" xfId="0" applyFont="1" applyBorder="1" applyProtection="1"/>
    <xf numFmtId="0" fontId="3" fillId="0" borderId="1" xfId="0" applyFont="1" applyBorder="1" applyAlignment="1" applyProtection="1">
      <alignment horizontal="center"/>
    </xf>
    <xf numFmtId="0" fontId="2" fillId="0" borderId="1" xfId="0" applyFont="1" applyBorder="1" applyAlignment="1" applyProtection="1">
      <alignment horizontal="center"/>
    </xf>
    <xf numFmtId="0" fontId="2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/>
    </xf>
    <xf numFmtId="164" fontId="2" fillId="0" borderId="1" xfId="0" applyNumberFormat="1" applyFont="1" applyBorder="1" applyAlignment="1" applyProtection="1">
      <alignment horizontal="center"/>
    </xf>
    <xf numFmtId="0" fontId="0" fillId="0" borderId="0" xfId="0" applyProtection="1"/>
    <xf numFmtId="0" fontId="5" fillId="0" borderId="1" xfId="0" applyFont="1" applyBorder="1" applyAlignment="1" applyProtection="1">
      <alignment horizontal="left" indent="2"/>
    </xf>
    <xf numFmtId="0" fontId="5" fillId="0" borderId="1" xfId="0" applyFont="1" applyBorder="1" applyProtection="1"/>
    <xf numFmtId="0" fontId="3" fillId="3" borderId="1" xfId="0" applyFont="1" applyFill="1" applyBorder="1" applyProtection="1"/>
    <xf numFmtId="0" fontId="1" fillId="0" borderId="1" xfId="0" applyFont="1" applyBorder="1" applyAlignment="1" applyProtection="1">
      <alignment vertical="center"/>
    </xf>
    <xf numFmtId="0" fontId="1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/>
    </xf>
    <xf numFmtId="0" fontId="1" fillId="0" borderId="1" xfId="0" applyFont="1" applyBorder="1" applyProtection="1"/>
    <xf numFmtId="0" fontId="1" fillId="0" borderId="6" xfId="0" applyFont="1" applyBorder="1" applyAlignment="1" applyProtection="1"/>
    <xf numFmtId="0" fontId="3" fillId="3" borderId="1" xfId="0" applyFont="1" applyFill="1" applyBorder="1" applyAlignment="1" applyProtection="1">
      <alignment horizontal="center"/>
    </xf>
    <xf numFmtId="0" fontId="0" fillId="0" borderId="0" xfId="0" applyAlignment="1" applyProtection="1">
      <alignment vertical="top"/>
    </xf>
    <xf numFmtId="164" fontId="9" fillId="0" borderId="1" xfId="0" applyNumberFormat="1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20" fillId="0" borderId="1" xfId="0" applyFont="1" applyBorder="1" applyProtection="1"/>
    <xf numFmtId="0" fontId="11" fillId="6" borderId="34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6" borderId="40" xfId="0" applyFont="1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left" vertical="top" wrapText="1" indent="3"/>
    </xf>
    <xf numFmtId="49" fontId="1" fillId="0" borderId="1" xfId="0" applyNumberFormat="1" applyFont="1" applyBorder="1" applyAlignment="1" applyProtection="1">
      <alignment horizontal="left" vertical="top" indent="3"/>
    </xf>
    <xf numFmtId="0" fontId="1" fillId="0" borderId="6" xfId="0" applyFont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0" fontId="6" fillId="0" borderId="6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/>
    </xf>
    <xf numFmtId="0" fontId="1" fillId="0" borderId="7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center" vertical="center" wrapText="1"/>
    </xf>
    <xf numFmtId="0" fontId="4" fillId="0" borderId="5" xfId="0" applyFont="1" applyBorder="1" applyAlignment="1" applyProtection="1">
      <alignment horizontal="center" vertical="center" wrapText="1"/>
    </xf>
    <xf numFmtId="0" fontId="2" fillId="0" borderId="8" xfId="0" applyFont="1" applyBorder="1" applyAlignment="1" applyProtection="1">
      <alignment horizontal="center" vertical="center" wrapText="1"/>
    </xf>
    <xf numFmtId="0" fontId="2" fillId="0" borderId="12" xfId="0" applyFont="1" applyBorder="1" applyAlignment="1" applyProtection="1">
      <alignment horizontal="center" vertical="center" wrapText="1"/>
    </xf>
    <xf numFmtId="0" fontId="2" fillId="0" borderId="10" xfId="0" applyFont="1" applyBorder="1" applyAlignment="1" applyProtection="1">
      <alignment horizontal="center" vertical="center" wrapText="1"/>
    </xf>
    <xf numFmtId="0" fontId="2" fillId="0" borderId="13" xfId="0" applyFont="1" applyBorder="1" applyAlignment="1" applyProtection="1">
      <alignment horizontal="center" vertical="center" wrapText="1"/>
    </xf>
    <xf numFmtId="49" fontId="1" fillId="0" borderId="8" xfId="0" applyNumberFormat="1" applyFont="1" applyBorder="1" applyAlignment="1" applyProtection="1">
      <alignment horizontal="left" vertical="top" wrapText="1"/>
    </xf>
    <xf numFmtId="49" fontId="1" fillId="0" borderId="12" xfId="0" applyNumberFormat="1" applyFont="1" applyBorder="1" applyAlignment="1" applyProtection="1">
      <alignment horizontal="left" vertical="top" wrapText="1"/>
    </xf>
    <xf numFmtId="49" fontId="1" fillId="0" borderId="29" xfId="0" applyNumberFormat="1" applyFont="1" applyBorder="1" applyAlignment="1" applyProtection="1">
      <alignment horizontal="left" vertical="top" wrapText="1"/>
    </xf>
    <xf numFmtId="49" fontId="1" fillId="0" borderId="30" xfId="0" applyNumberFormat="1" applyFont="1" applyBorder="1" applyAlignment="1" applyProtection="1">
      <alignment horizontal="left" vertical="top" wrapText="1"/>
    </xf>
    <xf numFmtId="49" fontId="1" fillId="0" borderId="10" xfId="0" applyNumberFormat="1" applyFont="1" applyBorder="1" applyAlignment="1" applyProtection="1">
      <alignment horizontal="left" vertical="top" wrapText="1"/>
    </xf>
    <xf numFmtId="49" fontId="1" fillId="0" borderId="13" xfId="0" applyNumberFormat="1" applyFont="1" applyBorder="1" applyAlignment="1" applyProtection="1">
      <alignment horizontal="left" vertical="top" wrapText="1"/>
    </xf>
    <xf numFmtId="0" fontId="17" fillId="2" borderId="6" xfId="0" applyFont="1" applyFill="1" applyBorder="1" applyAlignment="1" applyProtection="1">
      <alignment horizontal="left" indent="12"/>
    </xf>
    <xf numFmtId="0" fontId="17" fillId="2" borderId="3" xfId="0" applyFont="1" applyFill="1" applyBorder="1" applyAlignment="1" applyProtection="1">
      <alignment horizontal="left" indent="12"/>
    </xf>
    <xf numFmtId="0" fontId="17" fillId="2" borderId="2" xfId="0" applyFont="1" applyFill="1" applyBorder="1" applyAlignment="1" applyProtection="1">
      <alignment horizontal="left" indent="12"/>
    </xf>
    <xf numFmtId="0" fontId="17" fillId="2" borderId="6" xfId="0" applyFont="1" applyFill="1" applyBorder="1" applyAlignment="1" applyProtection="1">
      <alignment horizontal="left" indent="10"/>
    </xf>
    <xf numFmtId="0" fontId="17" fillId="2" borderId="3" xfId="0" applyFont="1" applyFill="1" applyBorder="1" applyAlignment="1" applyProtection="1">
      <alignment horizontal="left" indent="10"/>
    </xf>
    <xf numFmtId="0" fontId="17" fillId="2" borderId="2" xfId="0" applyFont="1" applyFill="1" applyBorder="1" applyAlignment="1" applyProtection="1">
      <alignment horizontal="left" indent="10"/>
    </xf>
    <xf numFmtId="0" fontId="7" fillId="0" borderId="10" xfId="0" applyFont="1" applyBorder="1" applyAlignment="1" applyProtection="1">
      <alignment horizontal="left" vertical="center" indent="5"/>
    </xf>
    <xf numFmtId="0" fontId="7" fillId="0" borderId="11" xfId="0" applyFont="1" applyBorder="1" applyAlignment="1" applyProtection="1">
      <alignment horizontal="left" vertical="center" indent="5"/>
    </xf>
    <xf numFmtId="0" fontId="7" fillId="0" borderId="13" xfId="0" applyFont="1" applyBorder="1" applyAlignment="1" applyProtection="1">
      <alignment horizontal="left" vertical="center" indent="5"/>
    </xf>
    <xf numFmtId="0" fontId="4" fillId="0" borderId="6" xfId="0" applyFont="1" applyBorder="1" applyAlignment="1" applyProtection="1">
      <alignment horizontal="center" vertical="center" wrapText="1"/>
    </xf>
    <xf numFmtId="0" fontId="4" fillId="0" borderId="3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/>
    </xf>
    <xf numFmtId="0" fontId="14" fillId="2" borderId="6" xfId="0" applyFont="1" applyFill="1" applyBorder="1" applyAlignment="1" applyProtection="1">
      <alignment horizontal="left" vertical="center" indent="12"/>
    </xf>
    <xf numFmtId="0" fontId="14" fillId="2" borderId="3" xfId="0" applyFont="1" applyFill="1" applyBorder="1" applyAlignment="1" applyProtection="1">
      <alignment horizontal="left" vertical="center" indent="12"/>
    </xf>
    <xf numFmtId="0" fontId="14" fillId="2" borderId="2" xfId="0" applyFont="1" applyFill="1" applyBorder="1" applyAlignment="1" applyProtection="1">
      <alignment horizontal="left" vertical="center" indent="12"/>
    </xf>
    <xf numFmtId="0" fontId="15" fillId="2" borderId="6" xfId="0" applyFont="1" applyFill="1" applyBorder="1" applyAlignment="1" applyProtection="1">
      <alignment horizontal="left" vertical="center" indent="17"/>
    </xf>
    <xf numFmtId="0" fontId="15" fillId="2" borderId="3" xfId="0" applyFont="1" applyFill="1" applyBorder="1" applyAlignment="1" applyProtection="1">
      <alignment horizontal="left" vertical="center" indent="17"/>
    </xf>
    <xf numFmtId="0" fontId="15" fillId="2" borderId="2" xfId="0" applyFont="1" applyFill="1" applyBorder="1" applyAlignment="1" applyProtection="1">
      <alignment horizontal="left" vertical="center" indent="17"/>
    </xf>
    <xf numFmtId="0" fontId="14" fillId="2" borderId="6" xfId="0" applyFont="1" applyFill="1" applyBorder="1" applyAlignment="1" applyProtection="1">
      <alignment horizontal="left" vertical="center" indent="7"/>
    </xf>
    <xf numFmtId="0" fontId="14" fillId="2" borderId="3" xfId="0" applyFont="1" applyFill="1" applyBorder="1" applyAlignment="1" applyProtection="1">
      <alignment horizontal="left" vertical="center" indent="7"/>
    </xf>
    <xf numFmtId="0" fontId="14" fillId="2" borderId="2" xfId="0" applyFont="1" applyFill="1" applyBorder="1" applyAlignment="1" applyProtection="1">
      <alignment horizontal="left" vertical="center" indent="7"/>
    </xf>
    <xf numFmtId="0" fontId="16" fillId="2" borderId="6" xfId="0" applyFont="1" applyFill="1" applyBorder="1" applyAlignment="1" applyProtection="1">
      <alignment horizontal="left" indent="12"/>
    </xf>
    <xf numFmtId="0" fontId="16" fillId="2" borderId="3" xfId="0" applyFont="1" applyFill="1" applyBorder="1" applyAlignment="1" applyProtection="1">
      <alignment horizontal="left" indent="12"/>
    </xf>
    <xf numFmtId="0" fontId="16" fillId="2" borderId="2" xfId="0" applyFont="1" applyFill="1" applyBorder="1" applyAlignment="1" applyProtection="1">
      <alignment horizontal="left" indent="12"/>
    </xf>
    <xf numFmtId="165" fontId="15" fillId="2" borderId="6" xfId="0" applyNumberFormat="1" applyFont="1" applyFill="1" applyBorder="1" applyAlignment="1" applyProtection="1">
      <alignment horizontal="left" vertical="center" indent="20"/>
    </xf>
    <xf numFmtId="165" fontId="15" fillId="2" borderId="3" xfId="0" applyNumberFormat="1" applyFont="1" applyFill="1" applyBorder="1" applyAlignment="1" applyProtection="1">
      <alignment horizontal="left" vertical="center" indent="20"/>
    </xf>
    <xf numFmtId="165" fontId="15" fillId="2" borderId="2" xfId="0" applyNumberFormat="1" applyFont="1" applyFill="1" applyBorder="1" applyAlignment="1" applyProtection="1">
      <alignment horizontal="left" vertical="center" indent="20"/>
    </xf>
    <xf numFmtId="0" fontId="5" fillId="0" borderId="6" xfId="0" applyFont="1" applyBorder="1" applyProtection="1"/>
    <xf numFmtId="0" fontId="5" fillId="0" borderId="3" xfId="0" applyFont="1" applyBorder="1" applyProtection="1"/>
    <xf numFmtId="0" fontId="5" fillId="0" borderId="9" xfId="0" applyFont="1" applyBorder="1" applyProtection="1"/>
    <xf numFmtId="0" fontId="5" fillId="0" borderId="12" xfId="0" applyFont="1" applyBorder="1" applyProtection="1"/>
    <xf numFmtId="0" fontId="16" fillId="2" borderId="6" xfId="0" applyFont="1" applyFill="1" applyBorder="1" applyAlignment="1" applyProtection="1">
      <alignment horizontal="left" indent="9"/>
    </xf>
    <xf numFmtId="0" fontId="16" fillId="2" borderId="3" xfId="0" applyFont="1" applyFill="1" applyBorder="1" applyAlignment="1" applyProtection="1">
      <alignment horizontal="left" indent="9"/>
    </xf>
    <xf numFmtId="0" fontId="19" fillId="3" borderId="32" xfId="0" applyFont="1" applyFill="1" applyBorder="1" applyAlignment="1">
      <alignment horizontal="center" vertical="center"/>
    </xf>
    <xf numFmtId="0" fontId="19" fillId="3" borderId="33" xfId="0" applyFont="1" applyFill="1" applyBorder="1" applyAlignment="1">
      <alignment horizontal="center" vertical="center"/>
    </xf>
    <xf numFmtId="0" fontId="19" fillId="3" borderId="13" xfId="0" applyFont="1" applyFill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2" fillId="4" borderId="22" xfId="0" applyFont="1" applyFill="1" applyBorder="1" applyAlignment="1">
      <alignment horizontal="center" vertical="center" textRotation="45" wrapText="1"/>
    </xf>
    <xf numFmtId="0" fontId="12" fillId="4" borderId="23" xfId="0" applyFont="1" applyFill="1" applyBorder="1" applyAlignment="1">
      <alignment horizontal="center" vertical="center" textRotation="45" wrapText="1"/>
    </xf>
    <xf numFmtId="0" fontId="12" fillId="4" borderId="25" xfId="0" applyFont="1" applyFill="1" applyBorder="1" applyAlignment="1">
      <alignment horizontal="center" vertical="center" textRotation="45" wrapText="1"/>
    </xf>
    <xf numFmtId="0" fontId="12" fillId="4" borderId="44" xfId="0" applyFont="1" applyFill="1" applyBorder="1" applyAlignment="1">
      <alignment horizontal="center" vertical="center" textRotation="45" wrapText="1"/>
    </xf>
    <xf numFmtId="0" fontId="12" fillId="4" borderId="37" xfId="0" applyFont="1" applyFill="1" applyBorder="1" applyAlignment="1">
      <alignment horizontal="center" vertical="center" textRotation="45" wrapText="1"/>
    </xf>
    <xf numFmtId="0" fontId="12" fillId="4" borderId="38" xfId="0" applyFont="1" applyFill="1" applyBorder="1" applyAlignment="1">
      <alignment horizontal="center" vertical="center" textRotation="45" wrapText="1"/>
    </xf>
    <xf numFmtId="0" fontId="12" fillId="4" borderId="36" xfId="0" applyFont="1" applyFill="1" applyBorder="1" applyAlignment="1">
      <alignment horizontal="center" vertical="center" textRotation="45" wrapText="1"/>
    </xf>
    <xf numFmtId="0" fontId="9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30"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66FF33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133351</xdr:colOff>
      <xdr:row>0</xdr:row>
      <xdr:rowOff>95250</xdr:rowOff>
    </xdr:from>
    <xdr:to>
      <xdr:col>0</xdr:col>
      <xdr:colOff>1066800</xdr:colOff>
      <xdr:row>0</xdr:row>
      <xdr:rowOff>714375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1" y="95250"/>
          <a:ext cx="933449" cy="619125"/>
        </a:xfrm>
        <a:prstGeom prst="rect">
          <a:avLst/>
        </a:prstGeom>
      </xdr:spPr>
    </xdr:pic>
    <xdr:clientData/>
  </xdr:twoCellAnchor>
  <xdr:twoCellAnchor editAs="oneCell">
    <xdr:from>
      <xdr:col>12</xdr:col>
      <xdr:colOff>400049</xdr:colOff>
      <xdr:row>0</xdr:row>
      <xdr:rowOff>105607</xdr:rowOff>
    </xdr:from>
    <xdr:to>
      <xdr:col>12</xdr:col>
      <xdr:colOff>1266824</xdr:colOff>
      <xdr:row>0</xdr:row>
      <xdr:rowOff>723900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5974" y="105607"/>
          <a:ext cx="866775" cy="618293"/>
        </a:xfrm>
        <a:prstGeom prst="rect">
          <a:avLst/>
        </a:prstGeom>
      </xdr:spPr>
    </xdr:pic>
    <xdr:clientData/>
  </xdr:twoCellAnchor>
  <xdr:oneCellAnchor>
    <xdr:from>
      <xdr:col>6</xdr:col>
      <xdr:colOff>364122</xdr:colOff>
      <xdr:row>2</xdr:row>
      <xdr:rowOff>150324</xdr:rowOff>
    </xdr:from>
    <xdr:ext cx="690125" cy="254493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678822" y="1159974"/>
          <a:ext cx="690125" cy="2544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1100" b="1" cap="none" spc="0">
              <a:ln w="0"/>
              <a:solidFill>
                <a:schemeClr val="tx1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NOMS</a:t>
          </a:r>
          <a:r>
            <a:rPr lang="fr-FR" sz="1100" b="1" cap="none" spc="0" baseline="0">
              <a:ln w="0"/>
              <a:solidFill>
                <a:schemeClr val="tx1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:</a:t>
          </a:r>
          <a:endParaRPr lang="fr-FR" sz="1100" b="1" cap="none" spc="0">
            <a:ln w="0"/>
            <a:solidFill>
              <a:schemeClr val="tx1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0</xdr:col>
      <xdr:colOff>344594</xdr:colOff>
      <xdr:row>2</xdr:row>
      <xdr:rowOff>161925</xdr:rowOff>
    </xdr:from>
    <xdr:ext cx="705899" cy="254493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44594" y="1171575"/>
          <a:ext cx="705899" cy="2544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1100" b="1" cap="none" spc="0" baseline="0">
              <a:ln w="0"/>
              <a:solidFill>
                <a:schemeClr val="tx1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VILLE :</a:t>
          </a:r>
          <a:endParaRPr lang="fr-FR" sz="1100" b="1" cap="none" spc="0">
            <a:ln w="0"/>
            <a:solidFill>
              <a:schemeClr val="tx1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0</xdr:col>
      <xdr:colOff>23301</xdr:colOff>
      <xdr:row>3</xdr:row>
      <xdr:rowOff>171450</xdr:rowOff>
    </xdr:from>
    <xdr:ext cx="1477585" cy="254493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301" y="1371600"/>
          <a:ext cx="1477585" cy="2544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1100" b="1" cap="none" spc="0" baseline="0">
              <a:ln w="0"/>
              <a:solidFill>
                <a:schemeClr val="tx1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COMMUNE / TER. :</a:t>
          </a:r>
          <a:endParaRPr lang="fr-FR" sz="1100" b="1" cap="none" spc="0">
            <a:ln w="0"/>
            <a:solidFill>
              <a:schemeClr val="tx1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0</xdr:col>
      <xdr:colOff>285750</xdr:colOff>
      <xdr:row>4</xdr:row>
      <xdr:rowOff>161925</xdr:rowOff>
    </xdr:from>
    <xdr:ext cx="760722" cy="254493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85750" y="1552575"/>
          <a:ext cx="760722" cy="2544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1100" b="1" cap="none" spc="0" baseline="0">
              <a:ln w="0"/>
              <a:solidFill>
                <a:schemeClr val="tx1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ECOLE :</a:t>
          </a:r>
          <a:endParaRPr lang="fr-FR" sz="1100" b="1" cap="none" spc="0">
            <a:ln w="0"/>
            <a:solidFill>
              <a:schemeClr val="tx1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6</xdr:col>
      <xdr:colOff>337584</xdr:colOff>
      <xdr:row>3</xdr:row>
      <xdr:rowOff>171450</xdr:rowOff>
    </xdr:from>
    <xdr:ext cx="1740669" cy="254493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3652284" y="1371600"/>
          <a:ext cx="1740669" cy="2544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1100" b="1" cap="none" spc="0" baseline="0">
              <a:ln w="0"/>
              <a:solidFill>
                <a:schemeClr val="tx1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DATE DE NAISSANCE :</a:t>
          </a:r>
          <a:endParaRPr lang="fr-FR" sz="1100" b="1" cap="none" spc="0">
            <a:ln w="0"/>
            <a:solidFill>
              <a:schemeClr val="tx1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6</xdr:col>
      <xdr:colOff>327688</xdr:colOff>
      <xdr:row>4</xdr:row>
      <xdr:rowOff>161925</xdr:rowOff>
    </xdr:from>
    <xdr:ext cx="815801" cy="254493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3642388" y="1552575"/>
          <a:ext cx="815801" cy="2544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1100" b="1" cap="none" spc="0" baseline="0">
              <a:ln w="0"/>
              <a:solidFill>
                <a:schemeClr val="tx1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CLASSE :</a:t>
          </a:r>
          <a:endParaRPr lang="fr-FR" sz="1100" b="1" cap="none" spc="0">
            <a:ln w="0"/>
            <a:solidFill>
              <a:schemeClr val="tx1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12</xdr:col>
      <xdr:colOff>80660</xdr:colOff>
      <xdr:row>4</xdr:row>
      <xdr:rowOff>161925</xdr:rowOff>
    </xdr:from>
    <xdr:ext cx="635430" cy="254493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624210" y="1552575"/>
          <a:ext cx="635430" cy="2544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1100" b="1" cap="none" spc="0" baseline="0">
              <a:ln w="0"/>
              <a:solidFill>
                <a:schemeClr val="tx1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SEXE :</a:t>
          </a:r>
          <a:endParaRPr lang="fr-FR" sz="1100" b="1" cap="none" spc="0">
            <a:ln w="0"/>
            <a:solidFill>
              <a:schemeClr val="tx1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0</xdr:col>
      <xdr:colOff>361950</xdr:colOff>
      <xdr:row>5</xdr:row>
      <xdr:rowOff>161925</xdr:rowOff>
    </xdr:from>
    <xdr:ext cx="674480" cy="254493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361950" y="1743075"/>
          <a:ext cx="674480" cy="2544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1100" b="1" cap="none" spc="0" baseline="0">
              <a:ln w="0"/>
              <a:solidFill>
                <a:schemeClr val="tx1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CODE :</a:t>
          </a:r>
          <a:endParaRPr lang="fr-FR" sz="1100" b="1" cap="none" spc="0">
            <a:ln w="0"/>
            <a:solidFill>
              <a:schemeClr val="tx1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6</xdr:col>
      <xdr:colOff>337513</xdr:colOff>
      <xdr:row>5</xdr:row>
      <xdr:rowOff>161925</xdr:rowOff>
    </xdr:from>
    <xdr:ext cx="875754" cy="254493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3652213" y="1743075"/>
          <a:ext cx="875754" cy="2544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1100" b="1" cap="none" spc="0" baseline="0">
              <a:ln w="0"/>
              <a:solidFill>
                <a:schemeClr val="tx1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N° PERM :</a:t>
          </a:r>
          <a:endParaRPr lang="fr-FR" sz="1100" b="1" cap="none" spc="0">
            <a:ln w="0"/>
            <a:solidFill>
              <a:schemeClr val="tx1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195188</xdr:colOff>
      <xdr:row>0</xdr:row>
      <xdr:rowOff>1098048</xdr:rowOff>
    </xdr:from>
    <xdr:ext cx="619273" cy="20955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0110713" y="1098048"/>
          <a:ext cx="619273" cy="209550"/>
        </a:xfrm>
        <a:prstGeom prst="rect">
          <a:avLst/>
        </a:prstGeom>
        <a:solidFill>
          <a:srgbClr val="FFFF00"/>
        </a:solidFill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fr-FR" sz="1600" b="1" cap="none" spc="0">
              <a:ln w="0"/>
              <a:solidFill>
                <a:schemeClr val="tx1"/>
              </a:solidFill>
              <a:effectLst/>
              <a:latin typeface="Bodoni MT Condensed" panose="02070606080606020203" pitchFamily="18" charset="0"/>
            </a:rPr>
            <a:t>Sur 10</a:t>
          </a:r>
        </a:p>
      </xdr:txBody>
    </xdr:sp>
    <xdr:clientData/>
  </xdr:oneCellAnchor>
  <xdr:oneCellAnchor>
    <xdr:from>
      <xdr:col>17</xdr:col>
      <xdr:colOff>247650</xdr:colOff>
      <xdr:row>0</xdr:row>
      <xdr:rowOff>1123950</xdr:rowOff>
    </xdr:from>
    <xdr:ext cx="619273" cy="2095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1191875" y="1123950"/>
          <a:ext cx="619273" cy="209550"/>
        </a:xfrm>
        <a:prstGeom prst="rect">
          <a:avLst/>
        </a:prstGeom>
        <a:solidFill>
          <a:srgbClr val="FFFF00"/>
        </a:solidFill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fr-FR" sz="1600" b="1" cap="none" spc="0">
              <a:ln w="0"/>
              <a:solidFill>
                <a:schemeClr val="tx1"/>
              </a:solidFill>
              <a:effectLst/>
              <a:latin typeface="Bodoni MT Condensed" panose="02070606080606020203" pitchFamily="18" charset="0"/>
            </a:rPr>
            <a:t>Sur 10</a:t>
          </a:r>
        </a:p>
      </xdr:txBody>
    </xdr:sp>
    <xdr:clientData/>
  </xdr:oneCellAnchor>
  <xdr:oneCellAnchor>
    <xdr:from>
      <xdr:col>23</xdr:col>
      <xdr:colOff>247650</xdr:colOff>
      <xdr:row>0</xdr:row>
      <xdr:rowOff>1104900</xdr:rowOff>
    </xdr:from>
    <xdr:ext cx="619273" cy="20955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2220575" y="1104900"/>
          <a:ext cx="619273" cy="209550"/>
        </a:xfrm>
        <a:prstGeom prst="rect">
          <a:avLst/>
        </a:prstGeom>
        <a:solidFill>
          <a:srgbClr val="FFFF00"/>
        </a:solidFill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fr-FR" sz="1600" b="1" cap="none" spc="0">
              <a:ln w="0"/>
              <a:solidFill>
                <a:schemeClr val="tx1"/>
              </a:solidFill>
              <a:effectLst/>
              <a:latin typeface="Bodoni MT Condensed" panose="02070606080606020203" pitchFamily="18" charset="0"/>
            </a:rPr>
            <a:t>Sur 10</a:t>
          </a:r>
        </a:p>
      </xdr:txBody>
    </xdr:sp>
    <xdr:clientData/>
  </xdr:oneCellAnchor>
  <xdr:oneCellAnchor>
    <xdr:from>
      <xdr:col>37</xdr:col>
      <xdr:colOff>142876</xdr:colOff>
      <xdr:row>0</xdr:row>
      <xdr:rowOff>1114425</xdr:rowOff>
    </xdr:from>
    <xdr:ext cx="619272" cy="209550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7011651" y="1114425"/>
          <a:ext cx="619272" cy="2095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fr-FR" sz="1600" b="1" cap="none" spc="0">
              <a:ln w="0"/>
              <a:solidFill>
                <a:schemeClr val="tx1"/>
              </a:solidFill>
              <a:effectLst/>
              <a:latin typeface="Bodoni MT Condensed" panose="02070606080606020203" pitchFamily="18" charset="0"/>
            </a:rPr>
            <a:t>Sur 20</a:t>
          </a:r>
        </a:p>
      </xdr:txBody>
    </xdr:sp>
    <xdr:clientData/>
  </xdr:oneCellAnchor>
  <xdr:oneCellAnchor>
    <xdr:from>
      <xdr:col>49</xdr:col>
      <xdr:colOff>247650</xdr:colOff>
      <xdr:row>0</xdr:row>
      <xdr:rowOff>1104900</xdr:rowOff>
    </xdr:from>
    <xdr:ext cx="619272" cy="20955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20202525" y="1104900"/>
          <a:ext cx="619272" cy="2095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fr-FR" sz="1600" b="1" cap="none" spc="0">
              <a:ln w="0"/>
              <a:solidFill>
                <a:schemeClr val="tx1"/>
              </a:solidFill>
              <a:effectLst/>
              <a:latin typeface="Bodoni MT Condensed" panose="02070606080606020203" pitchFamily="18" charset="0"/>
            </a:rPr>
            <a:t>Sur 20</a:t>
          </a:r>
        </a:p>
      </xdr:txBody>
    </xdr:sp>
    <xdr:clientData/>
  </xdr:oneCellAnchor>
  <xdr:oneCellAnchor>
    <xdr:from>
      <xdr:col>56</xdr:col>
      <xdr:colOff>28575</xdr:colOff>
      <xdr:row>0</xdr:row>
      <xdr:rowOff>1095375</xdr:rowOff>
    </xdr:from>
    <xdr:ext cx="619272" cy="209550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21783675" y="1095375"/>
          <a:ext cx="619272" cy="2095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fr-FR" sz="1600" b="1" cap="none" spc="0">
              <a:ln w="0"/>
              <a:solidFill>
                <a:schemeClr val="tx1"/>
              </a:solidFill>
              <a:effectLst/>
              <a:latin typeface="Bodoni MT Condensed" panose="02070606080606020203" pitchFamily="18" charset="0"/>
            </a:rPr>
            <a:t>Sur 20</a:t>
          </a:r>
        </a:p>
      </xdr:txBody>
    </xdr:sp>
    <xdr:clientData/>
  </xdr:oneCellAnchor>
  <xdr:oneCellAnchor>
    <xdr:from>
      <xdr:col>59</xdr:col>
      <xdr:colOff>161925</xdr:colOff>
      <xdr:row>0</xdr:row>
      <xdr:rowOff>1133475</xdr:rowOff>
    </xdr:from>
    <xdr:ext cx="619272" cy="20955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16249650" y="1133475"/>
          <a:ext cx="619272" cy="2095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fr-FR" sz="1600" b="1" cap="none" spc="0">
              <a:ln w="0"/>
              <a:solidFill>
                <a:schemeClr val="tx1"/>
              </a:solidFill>
              <a:effectLst/>
              <a:latin typeface="Bodoni MT Condensed" panose="02070606080606020203" pitchFamily="18" charset="0"/>
            </a:rPr>
            <a:t>Sur 20</a:t>
          </a:r>
        </a:p>
      </xdr:txBody>
    </xdr:sp>
    <xdr:clientData/>
  </xdr:oneCellAnchor>
  <xdr:oneCellAnchor>
    <xdr:from>
      <xdr:col>65</xdr:col>
      <xdr:colOff>161925</xdr:colOff>
      <xdr:row>0</xdr:row>
      <xdr:rowOff>1152525</xdr:rowOff>
    </xdr:from>
    <xdr:ext cx="619272" cy="20955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17278350" y="1152525"/>
          <a:ext cx="619272" cy="2095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fr-FR" sz="1600" b="1" cap="none" spc="0">
              <a:ln w="0"/>
              <a:solidFill>
                <a:schemeClr val="tx1"/>
              </a:solidFill>
              <a:effectLst/>
              <a:latin typeface="Bodoni MT Condensed" panose="02070606080606020203" pitchFamily="18" charset="0"/>
            </a:rPr>
            <a:t>Sur 20</a:t>
          </a:r>
        </a:p>
      </xdr:txBody>
    </xdr:sp>
    <xdr:clientData/>
  </xdr:oneCellAnchor>
  <xdr:oneCellAnchor>
    <xdr:from>
      <xdr:col>73</xdr:col>
      <xdr:colOff>228600</xdr:colOff>
      <xdr:row>0</xdr:row>
      <xdr:rowOff>1123950</xdr:rowOff>
    </xdr:from>
    <xdr:ext cx="619272" cy="20955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26355675" y="1123950"/>
          <a:ext cx="619272" cy="2095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fr-FR" sz="1600" b="1" cap="none" spc="0">
              <a:ln w="0"/>
              <a:solidFill>
                <a:schemeClr val="tx1"/>
              </a:solidFill>
              <a:effectLst/>
              <a:latin typeface="Bodoni MT Condensed" panose="02070606080606020203" pitchFamily="18" charset="0"/>
            </a:rPr>
            <a:t>Sur 20</a:t>
          </a:r>
        </a:p>
      </xdr:txBody>
    </xdr:sp>
    <xdr:clientData/>
  </xdr:oneCellAnchor>
  <xdr:oneCellAnchor>
    <xdr:from>
      <xdr:col>97</xdr:col>
      <xdr:colOff>161925</xdr:colOff>
      <xdr:row>0</xdr:row>
      <xdr:rowOff>1104900</xdr:rowOff>
    </xdr:from>
    <xdr:ext cx="619272" cy="209550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32461200" y="1104900"/>
          <a:ext cx="619272" cy="2095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fr-FR" sz="1600" b="1" cap="none" spc="0">
              <a:ln w="0"/>
              <a:solidFill>
                <a:schemeClr val="tx1"/>
              </a:solidFill>
              <a:effectLst/>
              <a:latin typeface="Bodoni MT Condensed" panose="02070606080606020203" pitchFamily="18" charset="0"/>
            </a:rPr>
            <a:t>Sur 40</a:t>
          </a:r>
        </a:p>
      </xdr:txBody>
    </xdr:sp>
    <xdr:clientData/>
  </xdr:oneCellAnchor>
  <xdr:oneCellAnchor>
    <xdr:from>
      <xdr:col>107</xdr:col>
      <xdr:colOff>209550</xdr:colOff>
      <xdr:row>0</xdr:row>
      <xdr:rowOff>1181100</xdr:rowOff>
    </xdr:from>
    <xdr:ext cx="619272" cy="209550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21440775" y="1181100"/>
          <a:ext cx="619272" cy="2095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txBody>
        <a:bodyPr wrap="none" lIns="91440" tIns="45720" rIns="91440" bIns="45720" anchor="ctr">
          <a:noAutofit/>
        </a:bodyPr>
        <a:lstStyle/>
        <a:p>
          <a:pPr marL="0" indent="0" algn="ctr"/>
          <a:r>
            <a:rPr lang="fr-FR" sz="1600" b="1" cap="none" spc="0">
              <a:ln w="0"/>
              <a:solidFill>
                <a:schemeClr val="tx1"/>
              </a:solidFill>
              <a:effectLst/>
              <a:latin typeface="Bodoni MT Condensed" panose="02070606080606020203" pitchFamily="18" charset="0"/>
              <a:ea typeface="+mn-ea"/>
              <a:cs typeface="+mn-cs"/>
            </a:rPr>
            <a:t>Sur 40</a:t>
          </a:r>
        </a:p>
      </xdr:txBody>
    </xdr:sp>
    <xdr:clientData/>
  </xdr:oneCellAnchor>
  <xdr:oneCellAnchor>
    <xdr:from>
      <xdr:col>132</xdr:col>
      <xdr:colOff>0</xdr:colOff>
      <xdr:row>0</xdr:row>
      <xdr:rowOff>1143000</xdr:rowOff>
    </xdr:from>
    <xdr:ext cx="619272" cy="209550"/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25603200" y="1143000"/>
          <a:ext cx="619272" cy="209550"/>
        </a:xfrm>
        <a:prstGeom prst="rect">
          <a:avLst/>
        </a:prstGeom>
        <a:solidFill>
          <a:srgbClr val="00B0F0"/>
        </a:solidFill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fr-FR" sz="1600" b="1" cap="none" spc="0">
              <a:ln w="0"/>
              <a:solidFill>
                <a:schemeClr val="tx1"/>
              </a:solidFill>
              <a:effectLst/>
              <a:latin typeface="Bodoni MT Condensed" panose="02070606080606020203" pitchFamily="18" charset="0"/>
            </a:rPr>
            <a:t>Sur 50</a:t>
          </a:r>
        </a:p>
      </xdr:txBody>
    </xdr:sp>
    <xdr:clientData/>
  </xdr:oneCellAnchor>
  <xdr:oneCellAnchor>
    <xdr:from>
      <xdr:col>137</xdr:col>
      <xdr:colOff>200025</xdr:colOff>
      <xdr:row>0</xdr:row>
      <xdr:rowOff>1143000</xdr:rowOff>
    </xdr:from>
    <xdr:ext cx="619272" cy="20955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31718250" y="1143000"/>
          <a:ext cx="619272" cy="209550"/>
        </a:xfrm>
        <a:prstGeom prst="rect">
          <a:avLst/>
        </a:prstGeom>
        <a:solidFill>
          <a:srgbClr val="00B0F0"/>
        </a:solidFill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fr-FR" sz="1600" b="1" cap="none" spc="0">
              <a:ln w="0"/>
              <a:solidFill>
                <a:schemeClr val="tx1"/>
              </a:solidFill>
              <a:effectLst/>
              <a:latin typeface="Bodoni MT Condensed" panose="02070606080606020203" pitchFamily="18" charset="0"/>
            </a:rPr>
            <a:t>Sur 50</a:t>
          </a:r>
        </a:p>
      </xdr:txBody>
    </xdr:sp>
    <xdr:clientData/>
  </xdr:oneCellAnchor>
  <xdr:oneCellAnchor>
    <xdr:from>
      <xdr:col>103</xdr:col>
      <xdr:colOff>219075</xdr:colOff>
      <xdr:row>0</xdr:row>
      <xdr:rowOff>1076325</xdr:rowOff>
    </xdr:from>
    <xdr:ext cx="619273" cy="20955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34061400" y="1076325"/>
          <a:ext cx="619273" cy="2095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fr-FR" sz="1600" b="1" cap="none" spc="0">
              <a:ln w="0"/>
              <a:solidFill>
                <a:schemeClr val="tx1"/>
              </a:solidFill>
              <a:effectLst/>
              <a:latin typeface="Bodoni MT Condensed" panose="02070606080606020203" pitchFamily="18" charset="0"/>
            </a:rPr>
            <a:t>Sur 40</a:t>
          </a:r>
        </a:p>
      </xdr:txBody>
    </xdr:sp>
    <xdr:clientData/>
  </xdr:oneCellAnchor>
  <xdr:oneCellAnchor>
    <xdr:from>
      <xdr:col>30</xdr:col>
      <xdr:colOff>209551</xdr:colOff>
      <xdr:row>0</xdr:row>
      <xdr:rowOff>1123950</xdr:rowOff>
    </xdr:from>
    <xdr:ext cx="619272" cy="209550"/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15278101" y="1123950"/>
          <a:ext cx="619272" cy="2095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fr-FR" sz="1600" b="1" cap="none" spc="0">
              <a:ln w="0"/>
              <a:solidFill>
                <a:schemeClr val="tx1"/>
              </a:solidFill>
              <a:effectLst/>
              <a:latin typeface="Bodoni MT Condensed" panose="02070606080606020203" pitchFamily="18" charset="0"/>
            </a:rPr>
            <a:t>Sur 20</a:t>
          </a:r>
        </a:p>
      </xdr:txBody>
    </xdr:sp>
    <xdr:clientData/>
  </xdr:oneCellAnchor>
  <xdr:oneCellAnchor>
    <xdr:from>
      <xdr:col>43</xdr:col>
      <xdr:colOff>200025</xdr:colOff>
      <xdr:row>0</xdr:row>
      <xdr:rowOff>1085850</xdr:rowOff>
    </xdr:from>
    <xdr:ext cx="619272" cy="20955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18611850" y="1085850"/>
          <a:ext cx="619272" cy="2095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fr-FR" sz="1600" b="1" cap="none" spc="0">
              <a:ln w="0"/>
              <a:solidFill>
                <a:schemeClr val="tx1"/>
              </a:solidFill>
              <a:effectLst/>
              <a:latin typeface="Bodoni MT Condensed" panose="02070606080606020203" pitchFamily="18" charset="0"/>
            </a:rPr>
            <a:t>Sur 20</a:t>
          </a:r>
        </a:p>
      </xdr:txBody>
    </xdr:sp>
    <xdr:clientData/>
  </xdr:oneCellAnchor>
  <xdr:oneCellAnchor>
    <xdr:from>
      <xdr:col>79</xdr:col>
      <xdr:colOff>228600</xdr:colOff>
      <xdr:row>0</xdr:row>
      <xdr:rowOff>1133475</xdr:rowOff>
    </xdr:from>
    <xdr:ext cx="619272" cy="20955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27898725" y="1133475"/>
          <a:ext cx="619272" cy="2095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fr-FR" sz="1600" b="1" cap="none" spc="0">
              <a:ln w="0"/>
              <a:solidFill>
                <a:schemeClr val="tx1"/>
              </a:solidFill>
              <a:effectLst/>
              <a:latin typeface="Bodoni MT Condensed" panose="02070606080606020203" pitchFamily="18" charset="0"/>
            </a:rPr>
            <a:t>Sur 20</a:t>
          </a:r>
        </a:p>
      </xdr:txBody>
    </xdr:sp>
    <xdr:clientData/>
  </xdr:oneCellAnchor>
  <xdr:oneCellAnchor>
    <xdr:from>
      <xdr:col>85</xdr:col>
      <xdr:colOff>190500</xdr:colOff>
      <xdr:row>0</xdr:row>
      <xdr:rowOff>1114425</xdr:rowOff>
    </xdr:from>
    <xdr:ext cx="619272" cy="209550"/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29403675" y="1114425"/>
          <a:ext cx="619272" cy="2095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fr-FR" sz="1600" b="1" cap="none" spc="0">
              <a:ln w="0"/>
              <a:solidFill>
                <a:schemeClr val="tx1"/>
              </a:solidFill>
              <a:effectLst/>
              <a:latin typeface="Bodoni MT Condensed" panose="02070606080606020203" pitchFamily="18" charset="0"/>
            </a:rPr>
            <a:t>Sur 20</a:t>
          </a:r>
        </a:p>
      </xdr:txBody>
    </xdr:sp>
    <xdr:clientData/>
  </xdr:oneCellAnchor>
  <xdr:oneCellAnchor>
    <xdr:from>
      <xdr:col>113</xdr:col>
      <xdr:colOff>200025</xdr:colOff>
      <xdr:row>0</xdr:row>
      <xdr:rowOff>1143000</xdr:rowOff>
    </xdr:from>
    <xdr:ext cx="619272" cy="209550"/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30441900" y="1143000"/>
          <a:ext cx="619272" cy="2095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fr-FR" sz="1600" b="1" cap="none" spc="0">
              <a:ln w="0"/>
              <a:solidFill>
                <a:schemeClr val="tx1"/>
              </a:solidFill>
              <a:effectLst/>
              <a:latin typeface="Bodoni MT Condensed" panose="02070606080606020203" pitchFamily="18" charset="0"/>
            </a:rPr>
            <a:t>Sur 40</a:t>
          </a:r>
        </a:p>
      </xdr:txBody>
    </xdr:sp>
    <xdr:clientData/>
  </xdr:oneCellAnchor>
  <xdr:oneCellAnchor>
    <xdr:from>
      <xdr:col>119</xdr:col>
      <xdr:colOff>200025</xdr:colOff>
      <xdr:row>0</xdr:row>
      <xdr:rowOff>1143000</xdr:rowOff>
    </xdr:from>
    <xdr:ext cx="619272" cy="20955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35071050" y="1143000"/>
          <a:ext cx="619272" cy="2095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fr-FR" sz="1600" b="1" cap="none" spc="0">
              <a:ln w="0"/>
              <a:solidFill>
                <a:schemeClr val="tx1"/>
              </a:solidFill>
              <a:effectLst/>
              <a:latin typeface="Bodoni MT Condensed" panose="02070606080606020203" pitchFamily="18" charset="0"/>
            </a:rPr>
            <a:t>Sur 40</a:t>
          </a:r>
        </a:p>
      </xdr:txBody>
    </xdr:sp>
    <xdr:clientData/>
  </xdr:oneCellAnchor>
  <xdr:oneCellAnchor>
    <xdr:from>
      <xdr:col>91</xdr:col>
      <xdr:colOff>228600</xdr:colOff>
      <xdr:row>0</xdr:row>
      <xdr:rowOff>1133475</xdr:rowOff>
    </xdr:from>
    <xdr:ext cx="619272" cy="20955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27898725" y="1133475"/>
          <a:ext cx="619272" cy="2095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fr-FR" sz="1600" b="1" cap="none" spc="0">
              <a:ln w="0"/>
              <a:solidFill>
                <a:schemeClr val="tx1"/>
              </a:solidFill>
              <a:effectLst/>
              <a:latin typeface="Bodoni MT Condensed" panose="02070606080606020203" pitchFamily="18" charset="0"/>
            </a:rPr>
            <a:t>Sur 20</a:t>
          </a:r>
        </a:p>
      </xdr:txBody>
    </xdr:sp>
    <xdr:clientData/>
  </xdr:oneCellAnchor>
  <xdr:oneCellAnchor>
    <xdr:from>
      <xdr:col>127</xdr:col>
      <xdr:colOff>209550</xdr:colOff>
      <xdr:row>0</xdr:row>
      <xdr:rowOff>1104900</xdr:rowOff>
    </xdr:from>
    <xdr:ext cx="619272" cy="209550"/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40224075" y="1104900"/>
          <a:ext cx="619272" cy="2095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fr-FR" sz="1600" b="1" cap="none" spc="0">
              <a:ln w="0"/>
              <a:solidFill>
                <a:schemeClr val="tx1"/>
              </a:solidFill>
              <a:effectLst/>
              <a:latin typeface="Bodoni MT Condensed" panose="02070606080606020203" pitchFamily="18" charset="0"/>
            </a:rPr>
            <a:t>Sur 40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M46"/>
  <sheetViews>
    <sheetView tabSelected="1" zoomScaleNormal="100" workbookViewId="0">
      <selection activeCell="N45" sqref="N45"/>
    </sheetView>
  </sheetViews>
  <sheetFormatPr baseColWidth="10" defaultColWidth="11.453125" defaultRowHeight="14.5" x14ac:dyDescent="0.35"/>
  <cols>
    <col min="1" max="1" width="21.81640625" style="39" customWidth="1"/>
    <col min="2" max="2" width="5.81640625" style="39" customWidth="1"/>
    <col min="3" max="3" width="5.54296875" style="39" customWidth="1"/>
    <col min="4" max="4" width="5.7265625" style="39" customWidth="1"/>
    <col min="5" max="5" width="5.1796875" style="39" customWidth="1"/>
    <col min="6" max="8" width="5.54296875" style="39" customWidth="1"/>
    <col min="9" max="9" width="5.1796875" style="39" customWidth="1"/>
    <col min="10" max="11" width="5.54296875" style="39" customWidth="1"/>
    <col min="12" max="12" width="5.26953125" style="39" customWidth="1"/>
    <col min="13" max="13" width="22" style="39" customWidth="1"/>
    <col min="14" max="16384" width="11.453125" style="39"/>
  </cols>
  <sheetData>
    <row r="1" spans="1:13" ht="64.5" customHeight="1" x14ac:dyDescent="0.35">
      <c r="A1" s="100" t="s">
        <v>117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2"/>
    </row>
    <row r="2" spans="1:13" x14ac:dyDescent="0.35">
      <c r="A2" s="40" t="s">
        <v>13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x14ac:dyDescent="0.35">
      <c r="A3" s="118"/>
      <c r="B3" s="119"/>
      <c r="C3" s="119"/>
      <c r="D3" s="119"/>
      <c r="E3" s="119"/>
      <c r="F3" s="119"/>
      <c r="G3" s="119"/>
      <c r="H3" s="120"/>
      <c r="I3" s="120"/>
      <c r="J3" s="120"/>
      <c r="K3" s="120"/>
      <c r="L3" s="120"/>
      <c r="M3" s="121"/>
    </row>
    <row r="4" spans="1:13" x14ac:dyDescent="0.35">
      <c r="A4" s="103" t="str">
        <f>IF(H4&lt;&gt;"",VLOOKUP(H4,LISTE!A3:EM72,8,FALSE),"")</f>
        <v>Lubumbashi</v>
      </c>
      <c r="B4" s="104"/>
      <c r="C4" s="104"/>
      <c r="D4" s="104"/>
      <c r="E4" s="104"/>
      <c r="F4" s="104"/>
      <c r="G4" s="105"/>
      <c r="H4" s="109" t="s">
        <v>55</v>
      </c>
      <c r="I4" s="110"/>
      <c r="J4" s="110"/>
      <c r="K4" s="110"/>
      <c r="L4" s="110"/>
      <c r="M4" s="111"/>
    </row>
    <row r="5" spans="1:13" x14ac:dyDescent="0.35">
      <c r="A5" s="106" t="str">
        <f>IF(H4&lt;&gt;"",VLOOKUP(H4,LISTE!A3:EM72,9,FALSE),"")</f>
        <v>Kamalondo</v>
      </c>
      <c r="B5" s="107"/>
      <c r="C5" s="107"/>
      <c r="D5" s="107"/>
      <c r="E5" s="107"/>
      <c r="F5" s="107"/>
      <c r="G5" s="108"/>
      <c r="H5" s="115">
        <f>IF(H4&lt;&gt;"",VLOOKUP(H4,LISTE!A3:EM72,4,FALSE),"")</f>
        <v>40529</v>
      </c>
      <c r="I5" s="116"/>
      <c r="J5" s="116"/>
      <c r="K5" s="116"/>
      <c r="L5" s="116"/>
      <c r="M5" s="117"/>
    </row>
    <row r="6" spans="1:13" x14ac:dyDescent="0.35">
      <c r="A6" s="112" t="str">
        <f>IF(H4&lt;&gt;"",VLOOKUP(H4,LISTE!A3:EM72,10,FALSE),"")</f>
        <v>C.S EXCEL</v>
      </c>
      <c r="B6" s="113"/>
      <c r="C6" s="113"/>
      <c r="D6" s="113"/>
      <c r="E6" s="113"/>
      <c r="F6" s="113"/>
      <c r="G6" s="114"/>
      <c r="H6" s="122" t="str">
        <f>IF(H4&lt;&gt;"",VLOOKUP(H4,LISTE!A3:EM72,5,FALSE),"")</f>
        <v>2ème H.P</v>
      </c>
      <c r="I6" s="123"/>
      <c r="J6" s="123"/>
      <c r="K6" s="123"/>
      <c r="L6" s="123"/>
      <c r="M6" s="32" t="str">
        <f>IF(H4&lt;&gt;"",VLOOKUP(H4,LISTE!A3:EM72,3,FALSE),"")</f>
        <v>M</v>
      </c>
    </row>
    <row r="7" spans="1:13" x14ac:dyDescent="0.35">
      <c r="A7" s="91">
        <f>IF(H4&lt;&gt;"",VLOOKUP(H4,LISTE!A3:EM72,11,FALSE),"")</f>
        <v>710004</v>
      </c>
      <c r="B7" s="92"/>
      <c r="C7" s="92"/>
      <c r="D7" s="92"/>
      <c r="E7" s="92"/>
      <c r="F7" s="92"/>
      <c r="G7" s="93"/>
      <c r="H7" s="94" t="str">
        <f>IF(H4&lt;&gt;"",VLOOKUP(H4,LISTE!A3:EM72,6,FALSE),"")</f>
        <v>PERM04</v>
      </c>
      <c r="I7" s="95"/>
      <c r="J7" s="95"/>
      <c r="K7" s="95"/>
      <c r="L7" s="95"/>
      <c r="M7" s="96"/>
    </row>
    <row r="8" spans="1:13" x14ac:dyDescent="0.35">
      <c r="A8" s="97" t="s">
        <v>132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9"/>
    </row>
    <row r="9" spans="1:13" ht="15" customHeight="1" x14ac:dyDescent="0.35">
      <c r="A9" s="76" t="s">
        <v>0</v>
      </c>
      <c r="B9" s="69" t="s">
        <v>1</v>
      </c>
      <c r="C9" s="70"/>
      <c r="D9" s="70"/>
      <c r="E9" s="71"/>
      <c r="F9" s="69" t="s">
        <v>7</v>
      </c>
      <c r="G9" s="70"/>
      <c r="H9" s="70"/>
      <c r="I9" s="71"/>
      <c r="J9" s="78" t="s">
        <v>14</v>
      </c>
      <c r="K9" s="42"/>
      <c r="L9" s="81" t="s">
        <v>11</v>
      </c>
      <c r="M9" s="82"/>
    </row>
    <row r="10" spans="1:13" x14ac:dyDescent="0.35">
      <c r="A10" s="77"/>
      <c r="B10" s="72" t="s">
        <v>2</v>
      </c>
      <c r="C10" s="73"/>
      <c r="D10" s="74" t="s">
        <v>5</v>
      </c>
      <c r="E10" s="74" t="s">
        <v>6</v>
      </c>
      <c r="F10" s="72" t="s">
        <v>2</v>
      </c>
      <c r="G10" s="73"/>
      <c r="H10" s="74" t="s">
        <v>5</v>
      </c>
      <c r="I10" s="74" t="s">
        <v>6</v>
      </c>
      <c r="J10" s="79"/>
      <c r="K10" s="42"/>
      <c r="L10" s="83"/>
      <c r="M10" s="84"/>
    </row>
    <row r="11" spans="1:13" x14ac:dyDescent="0.35">
      <c r="A11" s="77"/>
      <c r="B11" s="43" t="s">
        <v>3</v>
      </c>
      <c r="C11" s="43" t="s">
        <v>4</v>
      </c>
      <c r="D11" s="75"/>
      <c r="E11" s="75"/>
      <c r="F11" s="43" t="s">
        <v>8</v>
      </c>
      <c r="G11" s="43" t="s">
        <v>9</v>
      </c>
      <c r="H11" s="75"/>
      <c r="I11" s="75"/>
      <c r="J11" s="80"/>
      <c r="K11" s="42"/>
      <c r="L11" s="36" t="s">
        <v>10</v>
      </c>
      <c r="M11" s="44" t="s">
        <v>27</v>
      </c>
    </row>
    <row r="12" spans="1:13" ht="15.5" x14ac:dyDescent="0.35">
      <c r="A12" s="43" t="s">
        <v>12</v>
      </c>
      <c r="B12" s="45">
        <v>10</v>
      </c>
      <c r="C12" s="45">
        <v>10</v>
      </c>
      <c r="D12" s="45">
        <v>20</v>
      </c>
      <c r="E12" s="45">
        <v>40</v>
      </c>
      <c r="F12" s="45">
        <v>10</v>
      </c>
      <c r="G12" s="45">
        <v>10</v>
      </c>
      <c r="H12" s="45">
        <v>20</v>
      </c>
      <c r="I12" s="45">
        <v>40</v>
      </c>
      <c r="J12" s="46">
        <v>80</v>
      </c>
      <c r="K12" s="42"/>
      <c r="L12" s="42"/>
      <c r="M12" s="42"/>
    </row>
    <row r="13" spans="1:13" x14ac:dyDescent="0.35">
      <c r="A13" s="33" t="str">
        <f>LISTE!L1</f>
        <v>Religion</v>
      </c>
      <c r="B13" s="34">
        <f>IF(H4&lt;&gt;"",VLOOKUP(H4,LISTE!A3:EM72,12,FALSE),"")</f>
        <v>5</v>
      </c>
      <c r="C13" s="34">
        <f>IF(H4&lt;&gt;"",VLOOKUP(H4,LISTE!A3:EM72,13,FALSE),"")</f>
        <v>7</v>
      </c>
      <c r="D13" s="35">
        <f>IF(H4&lt;&gt;"",VLOOKUP(H4,LISTE!A3:EM72,14,FALSE),"")</f>
        <v>10</v>
      </c>
      <c r="E13" s="35">
        <f>SUM(B13:D13)</f>
        <v>22</v>
      </c>
      <c r="F13" s="34">
        <f>IF(H4&lt;&gt;"",VLOOKUP(H4,LISTE!A3:EM72,15,FALSE),"")</f>
        <v>8</v>
      </c>
      <c r="G13" s="34">
        <f>IF(H4&lt;&gt;"",VLOOKUP(H4,LISTE!A3:EM72,16,FALSE),"")</f>
        <v>5</v>
      </c>
      <c r="H13" s="35">
        <f>IF(H4&lt;&gt;"",VLOOKUP(H4,LISTE!A3:EM72,17,FALSE),"")</f>
        <v>10</v>
      </c>
      <c r="I13" s="35">
        <f>SUM(F13:H13)</f>
        <v>23</v>
      </c>
      <c r="J13" s="35">
        <f>E13+I13</f>
        <v>45</v>
      </c>
      <c r="K13" s="42"/>
      <c r="L13" s="33"/>
      <c r="M13" s="33"/>
    </row>
    <row r="14" spans="1:13" x14ac:dyDescent="0.35">
      <c r="A14" s="33" t="str">
        <f>LISTE!R1</f>
        <v>Education à la vie</v>
      </c>
      <c r="B14" s="34">
        <f>IF(H4&lt;&gt;"",VLOOKUP(H4,LISTE!A3:EM72,18,FALSE),"")</f>
        <v>5</v>
      </c>
      <c r="C14" s="34">
        <f>IF(H4&lt;&gt;"",VLOOKUP(H4,LISTE!A3:EM72,19,FALSE),"")</f>
        <v>7</v>
      </c>
      <c r="D14" s="35">
        <f>IF(H4&lt;&gt;"",VLOOKUP(H4,LISTE!A3:EM72,20,FALSE),"")</f>
        <v>12</v>
      </c>
      <c r="E14" s="35">
        <f>SUM(B14:D14)</f>
        <v>24</v>
      </c>
      <c r="F14" s="34">
        <f>IF(H4&lt;&gt;"",VLOOKUP(H4,LISTE!A3:EM72,21,FALSE),"")</f>
        <v>6</v>
      </c>
      <c r="G14" s="34">
        <f>IF(H4&lt;&gt;"",VLOOKUP(H4,LISTE!A3:EM72,22,FALSE),"")</f>
        <v>7</v>
      </c>
      <c r="H14" s="35">
        <f>IF(H4&lt;&gt;"",VLOOKUP(H4,LISTE!A3:EM72,23,FALSE),"")</f>
        <v>9</v>
      </c>
      <c r="I14" s="35">
        <f>SUM(F14:H14)</f>
        <v>22</v>
      </c>
      <c r="J14" s="35">
        <f>E14+I14</f>
        <v>46</v>
      </c>
      <c r="K14" s="42"/>
      <c r="L14" s="33"/>
      <c r="M14" s="33"/>
    </row>
    <row r="15" spans="1:13" x14ac:dyDescent="0.35">
      <c r="A15" s="33" t="str">
        <f>LISTE!X1</f>
        <v>Ed. Civ &amp; Morale</v>
      </c>
      <c r="B15" s="34">
        <f>IF(H4&lt;&gt;"",VLOOKUP(H4,LISTE!A3:EM72,24,FALSE),"")</f>
        <v>5</v>
      </c>
      <c r="C15" s="34">
        <f>IF(H4&lt;&gt;"",VLOOKUP(H4,LISTE!A3:EM72,25,FALSE),"")</f>
        <v>8</v>
      </c>
      <c r="D15" s="35">
        <f>IF(H4&lt;&gt;"",VLOOKUP(H4,LISTE!A3:EM72,26,FALSE),"")</f>
        <v>11</v>
      </c>
      <c r="E15" s="35">
        <f>SUM(B15:D15)</f>
        <v>24</v>
      </c>
      <c r="F15" s="34">
        <f>IF(H4&lt;&gt;"",VLOOKUP(H4,LISTE!A3:EM72,27,FALSE),"")</f>
        <v>6</v>
      </c>
      <c r="G15" s="34">
        <f>IF(H4&lt;&gt;"",VLOOKUP(H4,LISTE!A3:EM72,28,FALSE),"")</f>
        <v>4</v>
      </c>
      <c r="H15" s="35">
        <f>IF(H4&lt;&gt;"",VLOOKUP(H4,LISTE!A3:EM72,29,FALSE),"")</f>
        <v>9</v>
      </c>
      <c r="I15" s="35">
        <f>SUM(F15:H15)</f>
        <v>19</v>
      </c>
      <c r="J15" s="35">
        <f>E15+I15</f>
        <v>43</v>
      </c>
      <c r="K15" s="42"/>
      <c r="L15" s="33"/>
      <c r="M15" s="33"/>
    </row>
    <row r="16" spans="1:13" ht="15" x14ac:dyDescent="0.35">
      <c r="A16" s="47" t="s">
        <v>12</v>
      </c>
      <c r="B16" s="45">
        <v>20</v>
      </c>
      <c r="C16" s="45">
        <v>20</v>
      </c>
      <c r="D16" s="45">
        <v>40</v>
      </c>
      <c r="E16" s="45">
        <v>80</v>
      </c>
      <c r="F16" s="45">
        <v>20</v>
      </c>
      <c r="G16" s="45">
        <v>20</v>
      </c>
      <c r="H16" s="45">
        <v>40</v>
      </c>
      <c r="I16" s="45">
        <v>80</v>
      </c>
      <c r="J16" s="45">
        <v>160</v>
      </c>
      <c r="K16" s="42"/>
      <c r="L16" s="42"/>
      <c r="M16" s="42"/>
    </row>
    <row r="17" spans="1:13" ht="15" customHeight="1" x14ac:dyDescent="0.35">
      <c r="A17" s="33" t="str">
        <f>LISTE!AD1</f>
        <v>Chimie</v>
      </c>
      <c r="B17" s="34">
        <f>IF(H4&lt;&gt;"",VLOOKUP(H4,LISTE!A3:EM72,30,FALSE),"")</f>
        <v>5</v>
      </c>
      <c r="C17" s="34">
        <f>IF(H4&lt;&gt;"",VLOOKUP(H4,LISTE!A3:EM72,31,FALSE),"")</f>
        <v>8</v>
      </c>
      <c r="D17" s="45">
        <f>IF(H4&lt;&gt;"",VLOOKUP(H4,LISTE!A3:EM72,32,FALSE),"")</f>
        <v>11</v>
      </c>
      <c r="E17" s="35">
        <f>SUM(B17:D17)</f>
        <v>24</v>
      </c>
      <c r="F17" s="34">
        <f>IF(H4&lt;&gt;"",VLOOKUP(H4,LISTE!A3:EM72,33,FALSE),"")</f>
        <v>6</v>
      </c>
      <c r="G17" s="34">
        <f>IF(H4&lt;&gt;"",VLOOKUP(H4,LISTE!A3:EM72,34,FALSE),"")</f>
        <v>4</v>
      </c>
      <c r="H17" s="35">
        <f>IF(H4&lt;&gt;"",VLOOKUP(H4,LISTE!A3:EM72,35,FALSE),"")</f>
        <v>11</v>
      </c>
      <c r="I17" s="35">
        <f>SUM(F17:H17)</f>
        <v>21</v>
      </c>
      <c r="J17" s="36">
        <f>SUM(E17,I17)</f>
        <v>45</v>
      </c>
      <c r="K17" s="42"/>
      <c r="L17" s="42"/>
      <c r="M17" s="42"/>
    </row>
    <row r="18" spans="1:13" ht="15" customHeight="1" x14ac:dyDescent="0.35">
      <c r="A18" s="33" t="str">
        <f>LISTE!AJ1</f>
        <v>Dessin</v>
      </c>
      <c r="B18" s="34">
        <f>IF(H4&lt;&gt;"",VLOOKUP(H4,LISTE!A3:EM72,36,FALSE),"")</f>
        <v>9</v>
      </c>
      <c r="C18" s="34">
        <f>IF(H4&lt;&gt;"",VLOOKUP(H4,LISTE!A3:EM72,37,FALSE),"")</f>
        <v>17</v>
      </c>
      <c r="D18" s="35">
        <f>IF(H4&lt;&gt;"",VLOOKUP(H4,LISTE!A3:EM72,38,FALSE),"")</f>
        <v>22</v>
      </c>
      <c r="E18" s="35">
        <f t="shared" ref="E18:E27" si="0">SUM(B18:D18)</f>
        <v>48</v>
      </c>
      <c r="F18" s="34">
        <f>IF(H4&lt;&gt;"",VLOOKUP(H4,LISTE!A3:EM72,39,FALSE),"")</f>
        <v>9</v>
      </c>
      <c r="G18" s="34">
        <f>IF(H4&lt;&gt;"",VLOOKUP(H4,LISTE!A3:EM72,40,FALSE),"")</f>
        <v>10</v>
      </c>
      <c r="H18" s="35">
        <f>IF(H4&lt;&gt;"",VLOOKUP(H4,LISTE!A3:EM72,41,FALSE),"")</f>
        <v>21</v>
      </c>
      <c r="I18" s="35">
        <f t="shared" ref="I18:I27" si="1">SUM(F18:H18)</f>
        <v>40</v>
      </c>
      <c r="J18" s="36">
        <f t="shared" ref="J18:J26" si="2">SUM(E18,I18)</f>
        <v>88</v>
      </c>
      <c r="K18" s="42"/>
      <c r="L18" s="33"/>
      <c r="M18" s="33"/>
    </row>
    <row r="19" spans="1:13" ht="15" customHeight="1" x14ac:dyDescent="0.35">
      <c r="A19" s="53" t="str">
        <f>LISTE!$AP$1</f>
        <v>Education physique</v>
      </c>
      <c r="B19" s="34">
        <f>IF(H4&lt;&gt;"",VLOOKUP(H4,LISTE!A3:EM72,42,FALSE),"")</f>
        <v>11</v>
      </c>
      <c r="C19" s="34">
        <f>IF(H4&lt;&gt;"",VLOOKUP(H4,LISTE!A3:EM72,43,FALSE),"")</f>
        <v>11</v>
      </c>
      <c r="D19" s="35">
        <f>IF(H4&lt;&gt;"",VLOOKUP(H4,LISTE!A3:EM72,44,FALSE),"")</f>
        <v>24</v>
      </c>
      <c r="E19" s="35">
        <f t="shared" si="0"/>
        <v>46</v>
      </c>
      <c r="F19" s="34">
        <f>IF(H4&lt;&gt;"",VLOOKUP(H4,LISTE!A3:EM72,45,FALSE),"")</f>
        <v>12</v>
      </c>
      <c r="G19" s="34">
        <f>IF(H4&lt;&gt;"",VLOOKUP(H4,LISTE!A3:EM72,46,FALSE),"")</f>
        <v>10</v>
      </c>
      <c r="H19" s="35">
        <f>IF(H4&lt;&gt;"",VLOOKUP(H4,LISTE!A3:EM72,47,FALSE),"")</f>
        <v>21</v>
      </c>
      <c r="I19" s="35">
        <f t="shared" si="1"/>
        <v>43</v>
      </c>
      <c r="J19" s="36">
        <f t="shared" si="2"/>
        <v>89</v>
      </c>
      <c r="K19" s="42"/>
      <c r="L19" s="33"/>
      <c r="M19" s="33"/>
    </row>
    <row r="20" spans="1:13" ht="15" customHeight="1" x14ac:dyDescent="0.35">
      <c r="A20" s="33" t="str">
        <f>LISTE!AV1</f>
        <v>Economie politique</v>
      </c>
      <c r="B20" s="34">
        <f>IF(H4&lt;&gt;"",VLOOKUP(H4,LISTE!A3:EM72,48,FALSE),"")</f>
        <v>11</v>
      </c>
      <c r="C20" s="34">
        <f>IF(H4&lt;&gt;"",VLOOKUP(H4,LISTE!A3:EM72,49,FALSE),"")</f>
        <v>11</v>
      </c>
      <c r="D20" s="35">
        <f>IF(H4&lt;&gt;"",VLOOKUP(H4,LISTE!A3:EM72,50,FALSE),"")</f>
        <v>24</v>
      </c>
      <c r="E20" s="35">
        <f t="shared" si="0"/>
        <v>46</v>
      </c>
      <c r="F20" s="34">
        <f>IF(H4&lt;&gt;"",VLOOKUP(H4,LISTE!A3:EM72,51,FALSE),"")</f>
        <v>12</v>
      </c>
      <c r="G20" s="34">
        <f>IF(H4&lt;&gt;"",VLOOKUP(H4,LISTE!A3:EM72,52,FALSE),"")</f>
        <v>10</v>
      </c>
      <c r="H20" s="35">
        <f>IF(H4&lt;&gt;"",VLOOKUP(H4,LISTE!A3:EM72,53,FALSE),"")</f>
        <v>21</v>
      </c>
      <c r="I20" s="35">
        <f t="shared" si="1"/>
        <v>43</v>
      </c>
      <c r="J20" s="36">
        <f t="shared" si="2"/>
        <v>89</v>
      </c>
      <c r="K20" s="42"/>
      <c r="L20" s="33"/>
      <c r="M20" s="33"/>
    </row>
    <row r="21" spans="1:13" ht="15" customHeight="1" x14ac:dyDescent="0.35">
      <c r="A21" s="53" t="str">
        <f>LISTE!BB1</f>
        <v>Education music. /Théatrale</v>
      </c>
      <c r="B21" s="34">
        <f>IF(H4&lt;&gt;"",VLOOKUP(H4,LISTE!A3:EM72,54,FALSE),"")</f>
        <v>9</v>
      </c>
      <c r="C21" s="34">
        <f>IF(H4&lt;&gt;"",VLOOKUP(H4,LISTE!A3:EM72,55,FALSE),"")</f>
        <v>10</v>
      </c>
      <c r="D21" s="35">
        <f>IF(H4&lt;&gt;"",VLOOKUP(H4,LISTE!A3:EM72,56,FALSE),"")</f>
        <v>24</v>
      </c>
      <c r="E21" s="35">
        <f t="shared" si="0"/>
        <v>43</v>
      </c>
      <c r="F21" s="34">
        <f>IF(H4&lt;&gt;"",VLOOKUP(H4,LISTE!A3:EM72,57,FALSE),"")</f>
        <v>10</v>
      </c>
      <c r="G21" s="34">
        <f>IF(H4&lt;&gt;"",VLOOKUP(H4,LISTE!A3:EM72,58,FALSE),"")</f>
        <v>11</v>
      </c>
      <c r="H21" s="35">
        <f>IF(H4&lt;&gt;"",VLOOKUP(H4,LISTE!A3:EM72,59,FALSE),"")</f>
        <v>22</v>
      </c>
      <c r="I21" s="35">
        <f t="shared" si="1"/>
        <v>43</v>
      </c>
      <c r="J21" s="36">
        <f t="shared" si="2"/>
        <v>86</v>
      </c>
      <c r="K21" s="42"/>
      <c r="L21" s="33"/>
      <c r="M21" s="33"/>
    </row>
    <row r="22" spans="1:13" ht="15" customHeight="1" x14ac:dyDescent="0.35">
      <c r="A22" s="33" t="str">
        <f>LISTE!BH1</f>
        <v>Geographie</v>
      </c>
      <c r="B22" s="34">
        <f>IF(H4&lt;&gt;"",VLOOKUP(H4,LISTE!A3:EM72,60,FALSE),"")</f>
        <v>9</v>
      </c>
      <c r="C22" s="34">
        <f>IF(H4&lt;&gt;"",VLOOKUP(H4,LISTE!A3:EM72,61,FALSE),"")</f>
        <v>10</v>
      </c>
      <c r="D22" s="35">
        <f>IF(H4&lt;&gt;"",VLOOKUP(H4,LISTE!A3:EM72,62,FALSE),"")</f>
        <v>21</v>
      </c>
      <c r="E22" s="35">
        <f t="shared" si="0"/>
        <v>40</v>
      </c>
      <c r="F22" s="34">
        <f>IF(H4&lt;&gt;"",VLOOKUP(H4,LISTE!A3:EM72,63,FALSE),"")</f>
        <v>11</v>
      </c>
      <c r="G22" s="34">
        <f>IF(H4&lt;&gt;"",VLOOKUP(H4,LISTE!A3:EM72,64,FALSE),"")</f>
        <v>12</v>
      </c>
      <c r="H22" s="35">
        <f>IF(H4&lt;&gt;"",VLOOKUP(H4,LISTE!A3:EM72,65,FALSE),"")</f>
        <v>16</v>
      </c>
      <c r="I22" s="35">
        <f t="shared" si="1"/>
        <v>39</v>
      </c>
      <c r="J22" s="36">
        <f t="shared" si="2"/>
        <v>79</v>
      </c>
      <c r="K22" s="42"/>
      <c r="L22" s="33"/>
      <c r="M22" s="33"/>
    </row>
    <row r="23" spans="1:13" ht="15" customHeight="1" x14ac:dyDescent="0.35">
      <c r="A23" s="33" t="str">
        <f>LISTE!BN1</f>
        <v>Histoire</v>
      </c>
      <c r="B23" s="34">
        <f>IF(H4&lt;&gt;"",VLOOKUP(H4,LISTE!A3:EM72,66,FALSE),"")</f>
        <v>11</v>
      </c>
      <c r="C23" s="34">
        <f>IF(H4&lt;&gt;"",VLOOKUP(H4,LISTE!A3:EM72,67,FALSE),"")</f>
        <v>11</v>
      </c>
      <c r="D23" s="35">
        <f>IF(H4&lt;&gt;"",VLOOKUP(H4,LISTE!A3:EM72,68,FALSE),"")</f>
        <v>29</v>
      </c>
      <c r="E23" s="35">
        <f t="shared" si="0"/>
        <v>51</v>
      </c>
      <c r="F23" s="34">
        <f>IF(H4&lt;&gt;"",VLOOKUP(H4,LISTE!A3:EM72,69,FALSE),"")</f>
        <v>12</v>
      </c>
      <c r="G23" s="34">
        <f>IF(H4&lt;&gt;"",VLOOKUP(H4,LISTE!A3:EM72,70,FALSE),"")</f>
        <v>9</v>
      </c>
      <c r="H23" s="35">
        <f>IF(H4&lt;&gt;"",VLOOKUP(H4,LISTE!A3:EM72,71,FALSE),"")</f>
        <v>24</v>
      </c>
      <c r="I23" s="35">
        <f t="shared" si="1"/>
        <v>45</v>
      </c>
      <c r="J23" s="36">
        <f t="shared" si="2"/>
        <v>96</v>
      </c>
      <c r="K23" s="42"/>
      <c r="L23" s="33"/>
      <c r="M23" s="33"/>
    </row>
    <row r="24" spans="1:13" ht="15" customHeight="1" x14ac:dyDescent="0.35">
      <c r="A24" s="33" t="str">
        <f>LISTE!$BT$1</f>
        <v>Informatique</v>
      </c>
      <c r="B24" s="34">
        <f>IF(H4&lt;&gt;"",VLOOKUP(H4,LISTE!A3:EM72,72,FALSE),"")</f>
        <v>11</v>
      </c>
      <c r="C24" s="34">
        <f>IF(H4&lt;&gt;"",VLOOKUP(H4,LISTE!A3:EM72,73,FALSE),"")</f>
        <v>13</v>
      </c>
      <c r="D24" s="35">
        <f>IF(H4&lt;&gt;"",VLOOKUP(H4,LISTE!A3:EM72,74,FALSE),"")</f>
        <v>0</v>
      </c>
      <c r="E24" s="35">
        <f t="shared" si="0"/>
        <v>24</v>
      </c>
      <c r="F24" s="34">
        <f>IF(H4&lt;&gt;"",VLOOKUP(H4,LISTE!A3:EM72,75,FALSE),"")</f>
        <v>9</v>
      </c>
      <c r="G24" s="34">
        <f>IF(H4&lt;&gt;"",VLOOKUP(H4,LISTE!A3:EM72,76,FALSE),"")</f>
        <v>12</v>
      </c>
      <c r="H24" s="35">
        <f>IF(H4&lt;&gt;"",VLOOKUP(H4,LISTE!A3:EM72,77,FALSE),"")</f>
        <v>0</v>
      </c>
      <c r="I24" s="35">
        <f t="shared" si="1"/>
        <v>21</v>
      </c>
      <c r="J24" s="36">
        <f t="shared" si="2"/>
        <v>45</v>
      </c>
      <c r="K24" s="42"/>
      <c r="L24" s="33"/>
      <c r="M24" s="33"/>
    </row>
    <row r="25" spans="1:13" ht="15" customHeight="1" x14ac:dyDescent="0.35">
      <c r="A25" s="33" t="str">
        <f>LISTE!$BZ$1</f>
        <v>Langues nationales</v>
      </c>
      <c r="B25" s="34">
        <f>IF(H4&lt;&gt;"",VLOOKUP(H4,LISTE!A3:EM72,78,FALSE),"")</f>
        <v>11</v>
      </c>
      <c r="C25" s="34">
        <f>IF(H4&lt;&gt;"",VLOOKUP(H4,LISTE!A3:EM72,79,FALSE),"")</f>
        <v>11</v>
      </c>
      <c r="D25" s="35">
        <f>IF(H4&lt;&gt;"",VLOOKUP(H4,LISTE!A3:EM72,80,FALSE),"")</f>
        <v>29</v>
      </c>
      <c r="E25" s="35">
        <f t="shared" si="0"/>
        <v>51</v>
      </c>
      <c r="F25" s="34">
        <f>IF(H4&lt;&gt;"",VLOOKUP(H4,LISTE!A3:EM72,81,FALSE),"")</f>
        <v>12</v>
      </c>
      <c r="G25" s="34">
        <f>IF(H4&lt;&gt;"",VLOOKUP(H4,LISTE!A3:EM72,82,FALSE),"")</f>
        <v>9</v>
      </c>
      <c r="H25" s="35">
        <f>IF(H4&lt;&gt;"",VLOOKUP(H4,LISTE!A3:EM72,83,FALSE),"")</f>
        <v>24</v>
      </c>
      <c r="I25" s="35">
        <f t="shared" si="1"/>
        <v>45</v>
      </c>
      <c r="J25" s="36">
        <f t="shared" si="2"/>
        <v>96</v>
      </c>
      <c r="K25" s="42"/>
      <c r="L25" s="33"/>
      <c r="M25" s="33"/>
    </row>
    <row r="26" spans="1:13" ht="15" customHeight="1" x14ac:dyDescent="0.35">
      <c r="A26" s="33" t="str">
        <f>LISTE!$CF$1</f>
        <v>Microbiologie</v>
      </c>
      <c r="B26" s="34">
        <f>IF(H4&lt;&gt;"",VLOOKUP(H4,LISTE!A3:EM72,84,FALSE),"")</f>
        <v>11</v>
      </c>
      <c r="C26" s="34">
        <f>IF(H4&lt;&gt;"",VLOOKUP(H4,LISTE!A3:EM72,85,FALSE),"")</f>
        <v>11</v>
      </c>
      <c r="D26" s="35">
        <f>IF(H4&lt;&gt;"",VLOOKUP(H4,LISTE!A3:EM72,86,FALSE),"")</f>
        <v>29</v>
      </c>
      <c r="E26" s="35">
        <f t="shared" si="0"/>
        <v>51</v>
      </c>
      <c r="F26" s="34">
        <f>IF(H4&lt;&gt;"",VLOOKUP(H4,LISTE!A3:EM72,87,FALSE),"")</f>
        <v>12</v>
      </c>
      <c r="G26" s="34">
        <f>IF(H4&lt;&gt;"",VLOOKUP(H4,LISTE!A3:EM72,88,FALSE),"")</f>
        <v>9</v>
      </c>
      <c r="H26" s="35">
        <f>IF(H4&lt;&gt;"",VLOOKUP(H4,LISTE!A3:EM72,89,FALSE),"")</f>
        <v>24</v>
      </c>
      <c r="I26" s="35">
        <f t="shared" si="1"/>
        <v>45</v>
      </c>
      <c r="J26" s="36">
        <f t="shared" si="2"/>
        <v>96</v>
      </c>
      <c r="K26" s="42"/>
      <c r="L26" s="33"/>
      <c r="M26" s="33"/>
    </row>
    <row r="27" spans="1:13" ht="15" customHeight="1" x14ac:dyDescent="0.35">
      <c r="A27" s="33" t="str">
        <f>LISTE!CL1</f>
        <v>Physique</v>
      </c>
      <c r="B27" s="34">
        <f>IF(H4&lt;&gt;"",VLOOKUP(H4,LISTE!A3:EM72,90,FALSE),"")</f>
        <v>11</v>
      </c>
      <c r="C27" s="34">
        <f>IF(H4&lt;&gt;"",VLOOKUP(H4,LISTE!A3:EM72,91,FALSE),"")</f>
        <v>11</v>
      </c>
      <c r="D27" s="35">
        <f>IF(H4&lt;&gt;"",VLOOKUP(H4,LISTE!A3:EM72,92,FALSE),"")</f>
        <v>29</v>
      </c>
      <c r="E27" s="35">
        <f t="shared" si="0"/>
        <v>51</v>
      </c>
      <c r="F27" s="34">
        <f>IF(H4&lt;&gt;"",VLOOKUP(H4,LISTE!A3:EM72,93,FALSE),"")</f>
        <v>12</v>
      </c>
      <c r="G27" s="34">
        <f>IF(H4&lt;&gt;"",VLOOKUP(H4,LISTE!A3:EM72,94,FALSE),"")</f>
        <v>9</v>
      </c>
      <c r="H27" s="35">
        <f>IF(H4&lt;&gt;"",VLOOKUP(H4,LISTE!A3:EM72,95,FALSE),"")</f>
        <v>24</v>
      </c>
      <c r="I27" s="35">
        <f t="shared" si="1"/>
        <v>45</v>
      </c>
      <c r="J27" s="36">
        <f>SUM(E27,I27)</f>
        <v>96</v>
      </c>
      <c r="K27" s="42"/>
      <c r="L27" s="33"/>
      <c r="M27" s="33"/>
    </row>
    <row r="28" spans="1:13" ht="15" x14ac:dyDescent="0.35">
      <c r="A28" s="47" t="s">
        <v>12</v>
      </c>
      <c r="B28" s="45">
        <v>40</v>
      </c>
      <c r="C28" s="45">
        <v>40</v>
      </c>
      <c r="D28" s="45">
        <v>80</v>
      </c>
      <c r="E28" s="45">
        <v>160</v>
      </c>
      <c r="F28" s="45">
        <v>40</v>
      </c>
      <c r="G28" s="45">
        <v>40</v>
      </c>
      <c r="H28" s="45">
        <v>80</v>
      </c>
      <c r="I28" s="45">
        <v>160</v>
      </c>
      <c r="J28" s="45">
        <v>320</v>
      </c>
      <c r="K28" s="42"/>
      <c r="L28" s="42"/>
      <c r="M28" s="42"/>
    </row>
    <row r="29" spans="1:13" x14ac:dyDescent="0.35">
      <c r="A29" s="53" t="str">
        <f>LISTE!$CR$1</f>
        <v>Didactiques des disciplines</v>
      </c>
      <c r="B29" s="34">
        <f>IF(H4&lt;&gt;"",VLOOKUP(H4,LISTE!A3:EM72,96,FALSE),"")</f>
        <v>14</v>
      </c>
      <c r="C29" s="34">
        <f>IF(H4&lt;&gt;"",VLOOKUP(H4,LISTE!A3:EM72,97,FALSE),"")</f>
        <v>10</v>
      </c>
      <c r="D29" s="35">
        <f>IF(H4&lt;&gt;"",VLOOKUP(H4,LISTE!A3:EM72,98,FALSE),"")</f>
        <v>0</v>
      </c>
      <c r="E29" s="35">
        <f t="shared" ref="E29:E36" si="3">SUM(B29:D29)</f>
        <v>24</v>
      </c>
      <c r="F29" s="34">
        <f>IF(H4&lt;&gt;"",VLOOKUP(H4,LISTE!A3:EM72,99,FALSE),"")</f>
        <v>9</v>
      </c>
      <c r="G29" s="34">
        <f>IF(H4&lt;&gt;"",VLOOKUP(H4,LISTE!A3:EM72,100,FALSE),"")</f>
        <v>11</v>
      </c>
      <c r="H29" s="35">
        <f>IF(H4&lt;&gt;"",VLOOKUP(H4,LISTE!A3:EM72,101,FALSE),"")</f>
        <v>0</v>
      </c>
      <c r="I29" s="35">
        <f t="shared" ref="I29:I36" si="4">SUM(F29:H29)</f>
        <v>20</v>
      </c>
      <c r="J29" s="36">
        <f t="shared" ref="J29:J36" si="5">SUM(E29,I29)</f>
        <v>44</v>
      </c>
      <c r="K29" s="42"/>
      <c r="L29" s="33"/>
      <c r="M29" s="33"/>
    </row>
    <row r="30" spans="1:13" x14ac:dyDescent="0.35">
      <c r="A30" s="33" t="str">
        <f>LISTE!$CX$1</f>
        <v>Didactique générale</v>
      </c>
      <c r="B30" s="34">
        <f>IF(H4&lt;&gt;"",VLOOKUP(H4,LISTE!A3:EM72,102,FALSE),"")</f>
        <v>11</v>
      </c>
      <c r="C30" s="34">
        <f>IF(H4&lt;&gt;"",VLOOKUP(H4,LISTE!A3:EM72,103,FALSE),"")</f>
        <v>15</v>
      </c>
      <c r="D30" s="35">
        <f>IF(H4&lt;&gt;"",VLOOKUP(H4,LISTE!A3:EM72,104,FALSE),"")</f>
        <v>0</v>
      </c>
      <c r="E30" s="35">
        <f t="shared" si="3"/>
        <v>26</v>
      </c>
      <c r="F30" s="34">
        <f>IF(H4&lt;&gt;"",VLOOKUP(H4,LISTE!A3:EM72,105,FALSE),"")</f>
        <v>11</v>
      </c>
      <c r="G30" s="34">
        <f>IF(H4&lt;&gt;"",VLOOKUP(H4,LISTE!A3:EM72,106,FALSE),"")</f>
        <v>9</v>
      </c>
      <c r="H30" s="35">
        <f>IF(H4&lt;&gt;"",VLOOKUP(H4,LISTE!A3:EM72,107,FALSE),"")</f>
        <v>0</v>
      </c>
      <c r="I30" s="35">
        <f t="shared" si="4"/>
        <v>20</v>
      </c>
      <c r="J30" s="36">
        <f t="shared" si="5"/>
        <v>46</v>
      </c>
      <c r="K30" s="42"/>
      <c r="L30" s="33"/>
      <c r="M30" s="33"/>
    </row>
    <row r="31" spans="1:13" x14ac:dyDescent="0.35">
      <c r="A31" s="33" t="str">
        <f>LISTE!$DD$1</f>
        <v>Mathématiques</v>
      </c>
      <c r="B31" s="34">
        <f>IF(H4&lt;&gt;"",VLOOKUP(H4,LISTE!A3:EM72,108,FALSE),"")</f>
        <v>22</v>
      </c>
      <c r="C31" s="34">
        <f>IF(H4&lt;&gt;"",VLOOKUP(H4,LISTE!A3:EM72,109,FALSE),"")</f>
        <v>20</v>
      </c>
      <c r="D31" s="35">
        <f>IF(H4&lt;&gt;"",VLOOKUP(H4,LISTE!A3:EM72,110,FALSE),"")</f>
        <v>45</v>
      </c>
      <c r="E31" s="35">
        <f>SUM(B31:D31)</f>
        <v>87</v>
      </c>
      <c r="F31" s="34">
        <f>IF(H4&lt;&gt;"",VLOOKUP(H4,LISTE!A3:EM72,111,FALSE),"")</f>
        <v>21</v>
      </c>
      <c r="G31" s="34">
        <f>IF(H4&lt;&gt;"",VLOOKUP(H4,LISTE!A3:EM72,112,FALSE),"")</f>
        <v>21</v>
      </c>
      <c r="H31" s="35">
        <f>IF(H4&lt;&gt;"",VLOOKUP(H4,LISTE!A3:EM72,113,FALSE),"")</f>
        <v>40</v>
      </c>
      <c r="I31" s="35">
        <f t="shared" si="4"/>
        <v>82</v>
      </c>
      <c r="J31" s="36">
        <f t="shared" si="5"/>
        <v>169</v>
      </c>
      <c r="K31" s="42"/>
      <c r="L31" s="33"/>
      <c r="M31" s="33"/>
    </row>
    <row r="32" spans="1:13" x14ac:dyDescent="0.35">
      <c r="A32" s="33" t="str">
        <f>LISTE!$DJ$1</f>
        <v>Pédagogie</v>
      </c>
      <c r="B32" s="34">
        <f>IF(H4&lt;&gt;"",VLOOKUP(H4,LISTE!A3:EM72,114,FALSE),"")</f>
        <v>14</v>
      </c>
      <c r="C32" s="34">
        <f>IF(H4&lt;&gt;"",VLOOKUP(H4,LISTE!A3:EM72,115,FALSE),"")</f>
        <v>10</v>
      </c>
      <c r="D32" s="36">
        <f>IF(H4&lt;&gt;"",VLOOKUP(H4,LISTE!A3:EM72,116,FALSE),"")</f>
        <v>0</v>
      </c>
      <c r="E32" s="35">
        <f>SUM(B32:D32)</f>
        <v>24</v>
      </c>
      <c r="F32" s="34">
        <f>IF(H4&lt;&gt;"",VLOOKUP(H4,LISTE!A3:EM72,117,FALSE),"")</f>
        <v>9</v>
      </c>
      <c r="G32" s="34">
        <f>IF(H4&lt;&gt;"",VLOOKUP(H4,LISTE!A3:EM72,118,FALSE),"")</f>
        <v>11</v>
      </c>
      <c r="H32" s="35">
        <f>IF(H4&lt;&gt;"",VLOOKUP(H4,LISTE!A3:EM72,119,FALSE),"")</f>
        <v>0</v>
      </c>
      <c r="I32" s="36">
        <f t="shared" si="4"/>
        <v>20</v>
      </c>
      <c r="J32" s="36">
        <f t="shared" si="5"/>
        <v>44</v>
      </c>
      <c r="K32" s="42"/>
      <c r="L32" s="33"/>
      <c r="M32" s="33"/>
    </row>
    <row r="33" spans="1:13" x14ac:dyDescent="0.35">
      <c r="A33" s="33" t="str">
        <f>LISTE!DP1</f>
        <v>Psychologie</v>
      </c>
      <c r="B33" s="34">
        <f>IF(H4&lt;&gt;"",VLOOKUP(H4,LISTE!A3:EM72,120,FALSE),"")</f>
        <v>14</v>
      </c>
      <c r="C33" s="34">
        <f>IF(H4&lt;&gt;"",VLOOKUP(H4,LISTE!A3:EM72,121,FALSE),"")</f>
        <v>10</v>
      </c>
      <c r="D33" s="36">
        <f>IF(H4&lt;&gt;"",VLOOKUP(H4,LISTE!A3:EM72,122,FALSE),"")</f>
        <v>0</v>
      </c>
      <c r="E33" s="35">
        <f>SUM(B33:D33)</f>
        <v>24</v>
      </c>
      <c r="F33" s="34">
        <f>IF(H4&lt;&gt;"",VLOOKUP(H4,LISTE!A3:EM72,123,FALSE),"")</f>
        <v>9</v>
      </c>
      <c r="G33" s="34">
        <f>IF(H4&lt;&gt;"",VLOOKUP(H4,LISTE!A3:EM72,124,FALSE),"")</f>
        <v>11</v>
      </c>
      <c r="H33" s="35">
        <f>IF(H4&lt;&gt;"",VLOOKUP(H4,LISTE!A3:EM72,125,FALSE),"")</f>
        <v>0</v>
      </c>
      <c r="I33" s="36">
        <f t="shared" si="4"/>
        <v>20</v>
      </c>
      <c r="J33" s="36">
        <f t="shared" si="5"/>
        <v>44</v>
      </c>
      <c r="K33" s="42"/>
      <c r="L33" s="33"/>
      <c r="M33" s="33"/>
    </row>
    <row r="34" spans="1:13" x14ac:dyDescent="0.35">
      <c r="A34" s="33" t="str">
        <f>LISTE!DV1</f>
        <v>Travail manuel / Ecriture</v>
      </c>
      <c r="B34" s="34">
        <f>IF(H4&lt;&gt;"",VLOOKUP(H4,LISTE!A3:EM72,126,FALSE),"")</f>
        <v>14</v>
      </c>
      <c r="C34" s="34">
        <f>IF(H4&lt;&gt;"",VLOOKUP(H4,LISTE!A3:EM72,127,FALSE),"")</f>
        <v>10</v>
      </c>
      <c r="D34" s="36">
        <f>IF(H4&lt;&gt;"",VLOOKUP(H4,LISTE!A3:EM72,128,FALSE),"")</f>
        <v>0</v>
      </c>
      <c r="E34" s="35">
        <f>SUM(B34:D34)</f>
        <v>24</v>
      </c>
      <c r="F34" s="34">
        <f>IF(H4&lt;&gt;"",VLOOKUP(H4,LISTE!A3:EM72,129,FALSE),"")</f>
        <v>9</v>
      </c>
      <c r="G34" s="34">
        <f>IF(H4&lt;&gt;"",VLOOKUP(H4,LISTE!A3:EM72,130,FALSE),"")</f>
        <v>11</v>
      </c>
      <c r="H34" s="35">
        <f>IF(H4&lt;&gt;"",VLOOKUP(H4,LISTE!A3:EM72,131,FALSE),"")</f>
        <v>0</v>
      </c>
      <c r="I34" s="36">
        <f t="shared" si="4"/>
        <v>20</v>
      </c>
      <c r="J34" s="36">
        <f t="shared" si="5"/>
        <v>44</v>
      </c>
      <c r="K34" s="42"/>
      <c r="L34" s="33"/>
      <c r="M34" s="33"/>
    </row>
    <row r="35" spans="1:13" x14ac:dyDescent="0.35">
      <c r="A35" s="47" t="s">
        <v>12</v>
      </c>
      <c r="B35" s="35">
        <v>50</v>
      </c>
      <c r="C35" s="35">
        <v>50</v>
      </c>
      <c r="D35" s="36">
        <v>100</v>
      </c>
      <c r="E35" s="36">
        <v>200</v>
      </c>
      <c r="F35" s="35">
        <v>50</v>
      </c>
      <c r="G35" s="35">
        <v>50</v>
      </c>
      <c r="H35" s="36">
        <v>100</v>
      </c>
      <c r="I35" s="36">
        <v>200</v>
      </c>
      <c r="J35" s="36">
        <v>400</v>
      </c>
      <c r="K35" s="42"/>
      <c r="L35" s="42"/>
      <c r="M35" s="42"/>
    </row>
    <row r="36" spans="1:13" x14ac:dyDescent="0.35">
      <c r="A36" s="33" t="str">
        <f>LISTE!EB1</f>
        <v>Anglais</v>
      </c>
      <c r="B36" s="34">
        <f>IF(H4&lt;&gt;"",VLOOKUP(H4,LISTE!A3:EM72,132,FALSE),"")</f>
        <v>41</v>
      </c>
      <c r="C36" s="34">
        <f>IF(H4&lt;&gt;"",VLOOKUP(H4,LISTE!A3:EM72,133,FALSE),"")</f>
        <v>36</v>
      </c>
      <c r="D36" s="36">
        <f>IF(H4&lt;&gt;"",VLOOKUP(H4,LISTE!A3:EM72,134,FALSE),"")</f>
        <v>55</v>
      </c>
      <c r="E36" s="36">
        <f t="shared" si="3"/>
        <v>132</v>
      </c>
      <c r="F36" s="34">
        <f>IF(H4&lt;&gt;"",VLOOKUP(H4,LISTE!A3:EM72,135,FALSE),"")</f>
        <v>37</v>
      </c>
      <c r="G36" s="34">
        <f>IF(H4&lt;&gt;"",VLOOKUP(H4,LISTE!A3:EM72,136,FALSE),"")</f>
        <v>45</v>
      </c>
      <c r="H36" s="36">
        <f>IF(H4&lt;&gt;"",VLOOKUP(H4,LISTE!A3:EM72,137,FALSE),"")</f>
        <v>32</v>
      </c>
      <c r="I36" s="36">
        <f t="shared" si="4"/>
        <v>114</v>
      </c>
      <c r="J36" s="36">
        <f t="shared" si="5"/>
        <v>246</v>
      </c>
      <c r="K36" s="42"/>
      <c r="L36" s="33"/>
      <c r="M36" s="33"/>
    </row>
    <row r="37" spans="1:13" x14ac:dyDescent="0.35">
      <c r="A37" s="33" t="str">
        <f>LISTE!EH1</f>
        <v>Français</v>
      </c>
      <c r="B37" s="34">
        <f>IF(H4&lt;&gt;"",VLOOKUP(H4,LISTE!A3:EM72,138,FALSE),"")</f>
        <v>21</v>
      </c>
      <c r="C37" s="34">
        <f>IF(H4&lt;&gt;"",VLOOKUP(H4,LISTE!A3:EM72,139,FALSE),"")</f>
        <v>34</v>
      </c>
      <c r="D37" s="35">
        <f>IF(H4&lt;&gt;"",VLOOKUP(H4,LISTE!A3:EM72,140,FALSE),"")</f>
        <v>52</v>
      </c>
      <c r="E37" s="35">
        <f>SUM(B37:D37)</f>
        <v>107</v>
      </c>
      <c r="F37" s="34">
        <f>IF(H4&lt;&gt;"",VLOOKUP(H4,LISTE!A3:EM72,141,FALSE),"")</f>
        <v>36</v>
      </c>
      <c r="G37" s="34">
        <f>IF(H4&lt;&gt;"",VLOOKUP(H4,LISTE!A3:EM72,142,FALSE),"")</f>
        <v>30</v>
      </c>
      <c r="H37" s="35">
        <f>IF(H4&lt;&gt;"",VLOOKUP(H4,LISTE!A3:EM72,143,FALSE),"")</f>
        <v>56</v>
      </c>
      <c r="I37" s="35">
        <f>SUM(F37:H37)</f>
        <v>122</v>
      </c>
      <c r="J37" s="35">
        <f>SUM(E37,I37)</f>
        <v>229</v>
      </c>
      <c r="K37" s="42"/>
      <c r="L37" s="33"/>
      <c r="M37" s="33"/>
    </row>
    <row r="38" spans="1:13" x14ac:dyDescent="0.35">
      <c r="A38" s="47" t="s">
        <v>20</v>
      </c>
      <c r="B38" s="37">
        <f>10*COUNTA(B13:B15)+20*COUNTA(B17:B27)+40*COUNTA(B29:B34)+50*COUNTA(B36:B37)</f>
        <v>590</v>
      </c>
      <c r="C38" s="37">
        <f>10*COUNTA(C13:C15)+20*COUNTA(C17:C27)+40*COUNTA(C29:C34)+50*COUNTA(C36:C37)</f>
        <v>590</v>
      </c>
      <c r="D38" s="37">
        <f>20*COUNTA(D13:D15)+40*COUNTA(D17:D27)+80*COUNTA(D29:D34)+100*COUNTA(D36:D37)</f>
        <v>1180</v>
      </c>
      <c r="E38" s="37">
        <f>40*COUNTA(E13:E15)+80*COUNTA(E17:E27)+160*COUNTA(E29:E34)+200*COUNTA(E36:E37)</f>
        <v>2360</v>
      </c>
      <c r="F38" s="37">
        <f>10*COUNTA(F13:F15)+20*COUNTA(F17:F27)+40*COUNTA(F29:F34)+50*COUNTA(F36:F37)</f>
        <v>590</v>
      </c>
      <c r="G38" s="37">
        <f>10*COUNTA(G13:G15)+20*COUNTA(G17:G27)+40*COUNTA(G29:G34)+50*COUNTA(G36:G37)</f>
        <v>590</v>
      </c>
      <c r="H38" s="37">
        <f>20*COUNTA(H13:H15)+40*COUNTA(H17:H27)+80*COUNTA(H29:H34)+100*COUNTA(H36:H37)</f>
        <v>1180</v>
      </c>
      <c r="I38" s="37">
        <f>40*COUNTA(I13:I15)+80*COUNTA(I17:I27)+160*COUNTA(I29:I34)+200*COUNTA(I36:I37)</f>
        <v>2360</v>
      </c>
      <c r="J38" s="37">
        <f>80*COUNTA(J13:J15)+160*COUNTA(J17:J27)+320*COUNTA(J29:J34)+400*COUNTA(J36:J37)</f>
        <v>4720</v>
      </c>
      <c r="K38" s="42"/>
      <c r="L38" s="42"/>
      <c r="M38" s="42"/>
    </row>
    <row r="39" spans="1:13" ht="15" customHeight="1" x14ac:dyDescent="0.35">
      <c r="A39" s="47" t="s">
        <v>21</v>
      </c>
      <c r="B39" s="37">
        <f>SUM(B13:B15,B17:B27,B29:B34,B36:B37)</f>
        <v>275</v>
      </c>
      <c r="C39" s="37">
        <f t="shared" ref="C39:J39" si="6">SUM(C13:C15,C17:C27,C29:C34,C36:C37)</f>
        <v>291</v>
      </c>
      <c r="D39" s="37">
        <f t="shared" si="6"/>
        <v>427</v>
      </c>
      <c r="E39" s="37">
        <f t="shared" si="6"/>
        <v>993</v>
      </c>
      <c r="F39" s="37">
        <f t="shared" si="6"/>
        <v>278</v>
      </c>
      <c r="G39" s="37">
        <f t="shared" si="6"/>
        <v>270</v>
      </c>
      <c r="H39" s="37">
        <f t="shared" si="6"/>
        <v>364</v>
      </c>
      <c r="I39" s="37">
        <f t="shared" si="6"/>
        <v>912</v>
      </c>
      <c r="J39" s="37">
        <f t="shared" si="6"/>
        <v>1905</v>
      </c>
      <c r="K39" s="42"/>
      <c r="L39" s="85" t="s">
        <v>107</v>
      </c>
      <c r="M39" s="86"/>
    </row>
    <row r="40" spans="1:13" x14ac:dyDescent="0.35">
      <c r="A40" s="47" t="s">
        <v>22</v>
      </c>
      <c r="B40" s="38">
        <f>(B39/B38)*100</f>
        <v>46.610169491525419</v>
      </c>
      <c r="C40" s="38">
        <f>(C39/C38)*100</f>
        <v>49.322033898305087</v>
      </c>
      <c r="D40" s="38">
        <f t="shared" ref="D40:J40" si="7">(D39/D38)*100</f>
        <v>36.186440677966104</v>
      </c>
      <c r="E40" s="38">
        <f t="shared" si="7"/>
        <v>42.076271186440678</v>
      </c>
      <c r="F40" s="38">
        <f t="shared" si="7"/>
        <v>47.118644067796609</v>
      </c>
      <c r="G40" s="38">
        <f t="shared" si="7"/>
        <v>45.762711864406782</v>
      </c>
      <c r="H40" s="38">
        <f t="shared" si="7"/>
        <v>30.847457627118647</v>
      </c>
      <c r="I40" s="38">
        <f t="shared" si="7"/>
        <v>38.644067796610173</v>
      </c>
      <c r="J40" s="38">
        <f t="shared" si="7"/>
        <v>40.360169491525419</v>
      </c>
      <c r="K40" s="42"/>
      <c r="L40" s="87"/>
      <c r="M40" s="88"/>
    </row>
    <row r="41" spans="1:13" x14ac:dyDescent="0.35">
      <c r="A41" s="47" t="s">
        <v>23</v>
      </c>
      <c r="B41" s="35" t="str">
        <f>IF(H4&lt;&gt;"",VLOOKUP(H4,LISTE!A3:FE72,145,FALSE),"")</f>
        <v>6e</v>
      </c>
      <c r="C41" s="35" t="str">
        <f>IF(H4&lt;&gt;"",VLOOKUP(H4,LISTE!A3:FE72,147,FALSE),"")</f>
        <v>6e</v>
      </c>
      <c r="D41" s="35" t="str">
        <f>IF(H4&lt;&gt;"",VLOOKUP(H4,LISTE!A3:FE72,149,FALSE),"")</f>
        <v>1e</v>
      </c>
      <c r="E41" s="35" t="str">
        <f>IF(H4&lt;&gt;"",VLOOKUP(H4,LISTE!A3:FE72,151,FALSE),"")</f>
        <v>2e</v>
      </c>
      <c r="F41" s="35" t="str">
        <f>IF(H4&lt;&gt;"",VLOOKUP(H4,LISTE!A3:FE72,153,FALSE),"")</f>
        <v>5e</v>
      </c>
      <c r="G41" s="35" t="str">
        <f>IF(H4&lt;&gt;"",VLOOKUP(H4,LISTE!A3:FE72,155,FALSE),"")</f>
        <v>8e</v>
      </c>
      <c r="H41" s="35" t="str">
        <f>IF(H4&lt;&gt;"",VLOOKUP(H4,LISTE!A3:FE72,157,FALSE),"")</f>
        <v>8e</v>
      </c>
      <c r="I41" s="35" t="str">
        <f>IF(H4&lt;&gt;"",VLOOKUP(H4,LISTE!A3:FE72,159,FALSE),"")</f>
        <v>7e</v>
      </c>
      <c r="J41" s="35" t="str">
        <f>IF(H4&lt;&gt;"",VLOOKUP(H4,LISTE!A3:FE72,161,FALSE),"")</f>
        <v>7e</v>
      </c>
      <c r="K41" s="42"/>
      <c r="L41" s="87"/>
      <c r="M41" s="88"/>
    </row>
    <row r="42" spans="1:13" x14ac:dyDescent="0.35">
      <c r="A42" s="48" t="s">
        <v>24</v>
      </c>
      <c r="B42" s="34"/>
      <c r="C42" s="34"/>
      <c r="D42" s="49"/>
      <c r="E42" s="49"/>
      <c r="F42" s="34"/>
      <c r="G42" s="34"/>
      <c r="H42" s="49"/>
      <c r="I42" s="49"/>
      <c r="J42" s="49"/>
      <c r="K42" s="42"/>
      <c r="L42" s="87"/>
      <c r="M42" s="88"/>
    </row>
    <row r="43" spans="1:13" x14ac:dyDescent="0.35">
      <c r="A43" s="48" t="s">
        <v>26</v>
      </c>
      <c r="B43" s="34"/>
      <c r="C43" s="34"/>
      <c r="D43" s="49"/>
      <c r="E43" s="49"/>
      <c r="F43" s="34"/>
      <c r="G43" s="34"/>
      <c r="H43" s="49"/>
      <c r="I43" s="49"/>
      <c r="J43" s="49"/>
      <c r="K43" s="42"/>
      <c r="L43" s="87"/>
      <c r="M43" s="88"/>
    </row>
    <row r="44" spans="1:13" x14ac:dyDescent="0.35">
      <c r="A44" s="48" t="s">
        <v>25</v>
      </c>
      <c r="B44" s="34"/>
      <c r="C44" s="34"/>
      <c r="D44" s="34"/>
      <c r="E44" s="34"/>
      <c r="F44" s="34"/>
      <c r="G44" s="34"/>
      <c r="H44" s="34"/>
      <c r="I44" s="34"/>
      <c r="J44" s="34"/>
      <c r="K44" s="42"/>
      <c r="L44" s="89"/>
      <c r="M44" s="90"/>
    </row>
    <row r="45" spans="1:13" ht="133.5" customHeight="1" x14ac:dyDescent="0.35">
      <c r="A45" s="67" t="s">
        <v>28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</row>
    <row r="46" spans="1:13" x14ac:dyDescent="0.35">
      <c r="A46" s="50"/>
    </row>
  </sheetData>
  <mergeCells count="24">
    <mergeCell ref="A7:G7"/>
    <mergeCell ref="H7:M7"/>
    <mergeCell ref="A8:M8"/>
    <mergeCell ref="A1:M1"/>
    <mergeCell ref="A4:G4"/>
    <mergeCell ref="A5:G5"/>
    <mergeCell ref="H4:M4"/>
    <mergeCell ref="A6:G6"/>
    <mergeCell ref="H5:M5"/>
    <mergeCell ref="A3:M3"/>
    <mergeCell ref="H6:L6"/>
    <mergeCell ref="A45:M45"/>
    <mergeCell ref="B9:E9"/>
    <mergeCell ref="B10:C10"/>
    <mergeCell ref="F9:I9"/>
    <mergeCell ref="F10:G10"/>
    <mergeCell ref="H10:H11"/>
    <mergeCell ref="I10:I11"/>
    <mergeCell ref="A9:A11"/>
    <mergeCell ref="D10:D11"/>
    <mergeCell ref="E10:E11"/>
    <mergeCell ref="J9:J11"/>
    <mergeCell ref="L9:M10"/>
    <mergeCell ref="L39:M44"/>
  </mergeCells>
  <conditionalFormatting sqref="B13:C15 F13:G15">
    <cfRule type="cellIs" dxfId="29" priority="35" operator="lessThan">
      <formula>5</formula>
    </cfRule>
  </conditionalFormatting>
  <conditionalFormatting sqref="D13:D15">
    <cfRule type="cellIs" dxfId="28" priority="34" operator="lessThan">
      <formula>10</formula>
    </cfRule>
  </conditionalFormatting>
  <conditionalFormatting sqref="H13">
    <cfRule type="cellIs" dxfId="27" priority="33" operator="lessThan">
      <formula>10</formula>
    </cfRule>
  </conditionalFormatting>
  <conditionalFormatting sqref="B29:C31">
    <cfRule type="cellIs" dxfId="26" priority="32" operator="lessThan">
      <formula>10</formula>
    </cfRule>
  </conditionalFormatting>
  <conditionalFormatting sqref="F29:G31">
    <cfRule type="cellIs" dxfId="25" priority="31" operator="lessThan">
      <formula>10</formula>
    </cfRule>
  </conditionalFormatting>
  <conditionalFormatting sqref="I13:I15">
    <cfRule type="cellIs" dxfId="24" priority="30" operator="lessThan">
      <formula>20</formula>
    </cfRule>
  </conditionalFormatting>
  <conditionalFormatting sqref="J13:J15">
    <cfRule type="cellIs" dxfId="23" priority="29" operator="lessThan">
      <formula>40</formula>
    </cfRule>
  </conditionalFormatting>
  <conditionalFormatting sqref="D18:D27 D29:D31">
    <cfRule type="cellIs" dxfId="22" priority="28" operator="lessThan">
      <formula>20</formula>
    </cfRule>
  </conditionalFormatting>
  <conditionalFormatting sqref="I29:I31">
    <cfRule type="cellIs" dxfId="21" priority="27" operator="lessThan">
      <formula>40</formula>
    </cfRule>
  </conditionalFormatting>
  <conditionalFormatting sqref="B32:C34">
    <cfRule type="cellIs" dxfId="20" priority="25" operator="lessThan">
      <formula>20</formula>
    </cfRule>
  </conditionalFormatting>
  <conditionalFormatting sqref="F32:G34">
    <cfRule type="cellIs" dxfId="19" priority="24" operator="lessThan">
      <formula>20</formula>
    </cfRule>
  </conditionalFormatting>
  <conditionalFormatting sqref="H32:H34">
    <cfRule type="cellIs" dxfId="18" priority="23" operator="lessThan">
      <formula>40</formula>
    </cfRule>
  </conditionalFormatting>
  <conditionalFormatting sqref="J29:J31">
    <cfRule type="cellIs" dxfId="17" priority="22" operator="lessThan">
      <formula>80</formula>
    </cfRule>
  </conditionalFormatting>
  <conditionalFormatting sqref="I32:I34">
    <cfRule type="cellIs" dxfId="16" priority="21" operator="lessThan">
      <formula>80</formula>
    </cfRule>
  </conditionalFormatting>
  <conditionalFormatting sqref="J32:J34">
    <cfRule type="cellIs" dxfId="15" priority="20" operator="lessThan">
      <formula>160</formula>
    </cfRule>
  </conditionalFormatting>
  <conditionalFormatting sqref="B36:C37 F36:G37">
    <cfRule type="cellIs" dxfId="14" priority="19" operator="lessThan">
      <formula>25</formula>
    </cfRule>
  </conditionalFormatting>
  <conditionalFormatting sqref="D36:D37 H36:H37">
    <cfRule type="cellIs" dxfId="13" priority="18" operator="lessThan">
      <formula>50</formula>
    </cfRule>
  </conditionalFormatting>
  <conditionalFormatting sqref="E36:E37 I36:I37">
    <cfRule type="cellIs" dxfId="12" priority="17" operator="lessThan">
      <formula>100</formula>
    </cfRule>
  </conditionalFormatting>
  <conditionalFormatting sqref="J36:J37">
    <cfRule type="cellIs" dxfId="11" priority="16" operator="lessThan">
      <formula>200</formula>
    </cfRule>
  </conditionalFormatting>
  <conditionalFormatting sqref="B40:J40">
    <cfRule type="cellIs" dxfId="10" priority="11" operator="lessThan">
      <formula>50</formula>
    </cfRule>
  </conditionalFormatting>
  <conditionalFormatting sqref="H14">
    <cfRule type="cellIs" dxfId="9" priority="10" operator="lessThan">
      <formula>10</formula>
    </cfRule>
  </conditionalFormatting>
  <conditionalFormatting sqref="H15">
    <cfRule type="cellIs" dxfId="8" priority="9" operator="lessThan">
      <formula>10</formula>
    </cfRule>
  </conditionalFormatting>
  <conditionalFormatting sqref="H29:H31">
    <cfRule type="cellIs" dxfId="7" priority="8" operator="lessThan">
      <formula>20</formula>
    </cfRule>
  </conditionalFormatting>
  <conditionalFormatting sqref="B17:C27">
    <cfRule type="cellIs" dxfId="6" priority="7" operator="lessThan">
      <formula>10</formula>
    </cfRule>
  </conditionalFormatting>
  <conditionalFormatting sqref="F17:G27">
    <cfRule type="cellIs" dxfId="5" priority="6" operator="lessThan">
      <formula>10</formula>
    </cfRule>
  </conditionalFormatting>
  <conditionalFormatting sqref="H17:H27">
    <cfRule type="cellIs" dxfId="4" priority="5" operator="lessThan">
      <formula>20</formula>
    </cfRule>
  </conditionalFormatting>
  <conditionalFormatting sqref="J17:J27">
    <cfRule type="cellIs" dxfId="3" priority="4" operator="lessThan">
      <formula>80</formula>
    </cfRule>
  </conditionalFormatting>
  <conditionalFormatting sqref="E17:E27">
    <cfRule type="cellIs" dxfId="2" priority="3" operator="lessThan">
      <formula>40</formula>
    </cfRule>
  </conditionalFormatting>
  <conditionalFormatting sqref="I17:I27">
    <cfRule type="cellIs" dxfId="1" priority="2" operator="lessThan">
      <formula>40</formula>
    </cfRule>
  </conditionalFormatting>
  <conditionalFormatting sqref="E29:E34">
    <cfRule type="cellIs" dxfId="0" priority="1" operator="lessThan">
      <formula>40</formula>
    </cfRule>
  </conditionalFormatting>
  <pageMargins left="0" right="0" top="0" bottom="0" header="0" footer="0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LISTE!$A$3:$A$72</xm:f>
          </x14:formula1>
          <xm:sqref>H4:M4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FE73"/>
  <sheetViews>
    <sheetView zoomScaleNormal="100" workbookViewId="0">
      <selection activeCell="E3" sqref="E3:E11"/>
    </sheetView>
  </sheetViews>
  <sheetFormatPr baseColWidth="10" defaultRowHeight="14.5" x14ac:dyDescent="0.35"/>
  <cols>
    <col min="1" max="1" width="28.453125" customWidth="1"/>
    <col min="4" max="4" width="13.81640625" customWidth="1"/>
    <col min="5" max="5" width="14.1796875" customWidth="1"/>
    <col min="7" max="7" width="15" customWidth="1"/>
    <col min="8" max="8" width="12.7265625" customWidth="1"/>
    <col min="11" max="11" width="11.453125" customWidth="1"/>
    <col min="12" max="143" width="3.81640625" customWidth="1"/>
    <col min="144" max="161" width="5.7265625" customWidth="1"/>
  </cols>
  <sheetData>
    <row r="1" spans="1:161" ht="114" customHeight="1" thickTop="1" thickBot="1" x14ac:dyDescent="0.4">
      <c r="A1" s="3" t="s">
        <v>39</v>
      </c>
      <c r="B1" s="3" t="s">
        <v>13</v>
      </c>
      <c r="C1" s="3" t="s">
        <v>29</v>
      </c>
      <c r="D1" s="3" t="s">
        <v>30</v>
      </c>
      <c r="E1" s="3" t="s">
        <v>31</v>
      </c>
      <c r="F1" s="3" t="s">
        <v>37</v>
      </c>
      <c r="G1" s="3" t="s">
        <v>34</v>
      </c>
      <c r="H1" s="3" t="s">
        <v>32</v>
      </c>
      <c r="I1" s="3" t="s">
        <v>33</v>
      </c>
      <c r="J1" s="3" t="s">
        <v>35</v>
      </c>
      <c r="K1" s="4" t="s">
        <v>36</v>
      </c>
      <c r="L1" s="131" t="s">
        <v>15</v>
      </c>
      <c r="M1" s="129"/>
      <c r="N1" s="129"/>
      <c r="O1" s="129"/>
      <c r="P1" s="129"/>
      <c r="Q1" s="130"/>
      <c r="R1" s="131" t="s">
        <v>16</v>
      </c>
      <c r="S1" s="129"/>
      <c r="T1" s="129"/>
      <c r="U1" s="129"/>
      <c r="V1" s="129"/>
      <c r="W1" s="130"/>
      <c r="X1" s="131" t="s">
        <v>38</v>
      </c>
      <c r="Y1" s="129"/>
      <c r="Z1" s="129"/>
      <c r="AA1" s="129"/>
      <c r="AB1" s="129"/>
      <c r="AC1" s="130"/>
      <c r="AD1" s="131" t="s">
        <v>105</v>
      </c>
      <c r="AE1" s="129"/>
      <c r="AF1" s="129"/>
      <c r="AG1" s="129"/>
      <c r="AH1" s="129"/>
      <c r="AI1" s="130"/>
      <c r="AJ1" s="131" t="s">
        <v>103</v>
      </c>
      <c r="AK1" s="129"/>
      <c r="AL1" s="129"/>
      <c r="AM1" s="129"/>
      <c r="AN1" s="129"/>
      <c r="AO1" s="130"/>
      <c r="AP1" s="131" t="s">
        <v>123</v>
      </c>
      <c r="AQ1" s="129"/>
      <c r="AR1" s="129"/>
      <c r="AS1" s="129"/>
      <c r="AT1" s="129"/>
      <c r="AU1" s="130"/>
      <c r="AV1" s="131" t="s">
        <v>124</v>
      </c>
      <c r="AW1" s="129"/>
      <c r="AX1" s="129"/>
      <c r="AY1" s="129"/>
      <c r="AZ1" s="129"/>
      <c r="BA1" s="130"/>
      <c r="BB1" s="131" t="s">
        <v>125</v>
      </c>
      <c r="BC1" s="129"/>
      <c r="BD1" s="129"/>
      <c r="BE1" s="129"/>
      <c r="BF1" s="129"/>
      <c r="BG1" s="130"/>
      <c r="BH1" s="131" t="s">
        <v>126</v>
      </c>
      <c r="BI1" s="129"/>
      <c r="BJ1" s="129"/>
      <c r="BK1" s="129"/>
      <c r="BL1" s="129"/>
      <c r="BM1" s="130"/>
      <c r="BN1" s="131" t="s">
        <v>104</v>
      </c>
      <c r="BO1" s="129"/>
      <c r="BP1" s="129"/>
      <c r="BQ1" s="129"/>
      <c r="BR1" s="129"/>
      <c r="BS1" s="130"/>
      <c r="BT1" s="131" t="s">
        <v>108</v>
      </c>
      <c r="BU1" s="129"/>
      <c r="BV1" s="129"/>
      <c r="BW1" s="129"/>
      <c r="BX1" s="129"/>
      <c r="BY1" s="130"/>
      <c r="BZ1" s="131" t="s">
        <v>120</v>
      </c>
      <c r="CA1" s="129"/>
      <c r="CB1" s="129"/>
      <c r="CC1" s="129"/>
      <c r="CD1" s="129"/>
      <c r="CE1" s="130"/>
      <c r="CF1" s="131" t="s">
        <v>127</v>
      </c>
      <c r="CG1" s="129"/>
      <c r="CH1" s="129"/>
      <c r="CI1" s="129"/>
      <c r="CJ1" s="129"/>
      <c r="CK1" s="130"/>
      <c r="CL1" s="131" t="s">
        <v>106</v>
      </c>
      <c r="CM1" s="129"/>
      <c r="CN1" s="129"/>
      <c r="CO1" s="129"/>
      <c r="CP1" s="129"/>
      <c r="CQ1" s="130"/>
      <c r="CR1" s="131" t="s">
        <v>128</v>
      </c>
      <c r="CS1" s="129"/>
      <c r="CT1" s="129"/>
      <c r="CU1" s="129"/>
      <c r="CV1" s="129"/>
      <c r="CW1" s="130"/>
      <c r="CX1" s="131" t="s">
        <v>129</v>
      </c>
      <c r="CY1" s="129"/>
      <c r="CZ1" s="129"/>
      <c r="DA1" s="129"/>
      <c r="DB1" s="129"/>
      <c r="DC1" s="130"/>
      <c r="DD1" s="131" t="s">
        <v>18</v>
      </c>
      <c r="DE1" s="129"/>
      <c r="DF1" s="129"/>
      <c r="DG1" s="129"/>
      <c r="DH1" s="129"/>
      <c r="DI1" s="129"/>
      <c r="DJ1" s="135" t="s">
        <v>121</v>
      </c>
      <c r="DK1" s="133"/>
      <c r="DL1" s="133"/>
      <c r="DM1" s="133"/>
      <c r="DN1" s="133"/>
      <c r="DO1" s="134"/>
      <c r="DP1" s="132" t="s">
        <v>122</v>
      </c>
      <c r="DQ1" s="133"/>
      <c r="DR1" s="133"/>
      <c r="DS1" s="133"/>
      <c r="DT1" s="133"/>
      <c r="DU1" s="134"/>
      <c r="DV1" s="135" t="s">
        <v>130</v>
      </c>
      <c r="DW1" s="133"/>
      <c r="DX1" s="133"/>
      <c r="DY1" s="133"/>
      <c r="DZ1" s="133"/>
      <c r="EA1" s="134"/>
      <c r="EB1" s="132" t="s">
        <v>17</v>
      </c>
      <c r="EC1" s="133"/>
      <c r="ED1" s="133"/>
      <c r="EE1" s="133"/>
      <c r="EF1" s="133"/>
      <c r="EG1" s="134"/>
      <c r="EH1" s="129" t="s">
        <v>19</v>
      </c>
      <c r="EI1" s="129"/>
      <c r="EJ1" s="129"/>
      <c r="EK1" s="129"/>
      <c r="EL1" s="129"/>
      <c r="EM1" s="130"/>
      <c r="EN1" s="127" t="s">
        <v>116</v>
      </c>
      <c r="EO1" s="128"/>
      <c r="EP1" s="128"/>
      <c r="EQ1" s="128"/>
      <c r="ER1" s="128"/>
      <c r="ES1" s="128"/>
      <c r="ET1" s="128"/>
      <c r="EU1" s="128"/>
      <c r="EV1" s="128"/>
      <c r="EW1" s="128"/>
      <c r="EX1" s="128"/>
      <c r="EY1" s="128"/>
      <c r="EZ1" s="128"/>
      <c r="FA1" s="128"/>
      <c r="FB1" s="128"/>
      <c r="FC1" s="128"/>
      <c r="FD1" s="128"/>
      <c r="FE1" s="128"/>
    </row>
    <row r="2" spans="1:161" ht="18" thickTop="1" thickBot="1" x14ac:dyDescent="0.4">
      <c r="A2" s="5"/>
      <c r="B2" s="6"/>
      <c r="C2" s="6"/>
      <c r="D2" s="6"/>
      <c r="E2" s="6"/>
      <c r="F2" s="6"/>
      <c r="G2" s="6"/>
      <c r="H2" s="6"/>
      <c r="I2" s="6"/>
      <c r="J2" s="6"/>
      <c r="K2" s="7"/>
      <c r="L2" s="28" t="s">
        <v>42</v>
      </c>
      <c r="M2" s="29" t="s">
        <v>43</v>
      </c>
      <c r="N2" s="30" t="s">
        <v>102</v>
      </c>
      <c r="O2" s="29" t="s">
        <v>44</v>
      </c>
      <c r="P2" s="29" t="s">
        <v>45</v>
      </c>
      <c r="Q2" s="30" t="s">
        <v>102</v>
      </c>
      <c r="R2" s="29" t="s">
        <v>42</v>
      </c>
      <c r="S2" s="29" t="s">
        <v>43</v>
      </c>
      <c r="T2" s="30" t="s">
        <v>102</v>
      </c>
      <c r="U2" s="29" t="s">
        <v>44</v>
      </c>
      <c r="V2" s="29" t="s">
        <v>45</v>
      </c>
      <c r="W2" s="30" t="s">
        <v>102</v>
      </c>
      <c r="X2" s="29" t="s">
        <v>42</v>
      </c>
      <c r="Y2" s="29" t="s">
        <v>43</v>
      </c>
      <c r="Z2" s="30" t="s">
        <v>102</v>
      </c>
      <c r="AA2" s="29" t="s">
        <v>44</v>
      </c>
      <c r="AB2" s="29" t="s">
        <v>45</v>
      </c>
      <c r="AC2" s="30" t="s">
        <v>102</v>
      </c>
      <c r="AD2" s="29" t="s">
        <v>42</v>
      </c>
      <c r="AE2" s="29" t="s">
        <v>43</v>
      </c>
      <c r="AF2" s="30" t="s">
        <v>102</v>
      </c>
      <c r="AG2" s="29" t="s">
        <v>44</v>
      </c>
      <c r="AH2" s="29" t="s">
        <v>45</v>
      </c>
      <c r="AI2" s="30" t="s">
        <v>102</v>
      </c>
      <c r="AJ2" s="29" t="s">
        <v>42</v>
      </c>
      <c r="AK2" s="29" t="s">
        <v>43</v>
      </c>
      <c r="AL2" s="30" t="s">
        <v>102</v>
      </c>
      <c r="AM2" s="29" t="s">
        <v>44</v>
      </c>
      <c r="AN2" s="29" t="s">
        <v>45</v>
      </c>
      <c r="AO2" s="30" t="s">
        <v>102</v>
      </c>
      <c r="AP2" s="29" t="s">
        <v>42</v>
      </c>
      <c r="AQ2" s="29" t="s">
        <v>43</v>
      </c>
      <c r="AR2" s="30" t="s">
        <v>102</v>
      </c>
      <c r="AS2" s="29" t="s">
        <v>44</v>
      </c>
      <c r="AT2" s="29" t="s">
        <v>45</v>
      </c>
      <c r="AU2" s="30" t="s">
        <v>102</v>
      </c>
      <c r="AV2" s="29" t="s">
        <v>42</v>
      </c>
      <c r="AW2" s="29" t="s">
        <v>43</v>
      </c>
      <c r="AX2" s="30" t="s">
        <v>102</v>
      </c>
      <c r="AY2" s="29" t="s">
        <v>44</v>
      </c>
      <c r="AZ2" s="29" t="s">
        <v>45</v>
      </c>
      <c r="BA2" s="30" t="s">
        <v>102</v>
      </c>
      <c r="BB2" s="29" t="s">
        <v>42</v>
      </c>
      <c r="BC2" s="29" t="s">
        <v>43</v>
      </c>
      <c r="BD2" s="30" t="s">
        <v>102</v>
      </c>
      <c r="BE2" s="29" t="s">
        <v>44</v>
      </c>
      <c r="BF2" s="29" t="s">
        <v>45</v>
      </c>
      <c r="BG2" s="31" t="s">
        <v>102</v>
      </c>
      <c r="BH2" s="29" t="s">
        <v>42</v>
      </c>
      <c r="BI2" s="29" t="s">
        <v>43</v>
      </c>
      <c r="BJ2" s="30" t="s">
        <v>102</v>
      </c>
      <c r="BK2" s="29" t="s">
        <v>44</v>
      </c>
      <c r="BL2" s="29" t="s">
        <v>45</v>
      </c>
      <c r="BM2" s="30" t="s">
        <v>102</v>
      </c>
      <c r="BN2" s="29" t="s">
        <v>42</v>
      </c>
      <c r="BO2" s="29" t="s">
        <v>43</v>
      </c>
      <c r="BP2" s="30" t="s">
        <v>102</v>
      </c>
      <c r="BQ2" s="29" t="s">
        <v>44</v>
      </c>
      <c r="BR2" s="29" t="s">
        <v>45</v>
      </c>
      <c r="BS2" s="30" t="s">
        <v>102</v>
      </c>
      <c r="BT2" s="29" t="s">
        <v>42</v>
      </c>
      <c r="BU2" s="29" t="s">
        <v>43</v>
      </c>
      <c r="BV2" s="30" t="s">
        <v>102</v>
      </c>
      <c r="BW2" s="29" t="s">
        <v>44</v>
      </c>
      <c r="BX2" s="29" t="s">
        <v>45</v>
      </c>
      <c r="BY2" s="30" t="s">
        <v>102</v>
      </c>
      <c r="BZ2" s="29" t="s">
        <v>42</v>
      </c>
      <c r="CA2" s="29" t="s">
        <v>43</v>
      </c>
      <c r="CB2" s="30" t="s">
        <v>102</v>
      </c>
      <c r="CC2" s="29" t="s">
        <v>44</v>
      </c>
      <c r="CD2" s="29" t="s">
        <v>45</v>
      </c>
      <c r="CE2" s="30" t="s">
        <v>102</v>
      </c>
      <c r="CF2" s="29" t="s">
        <v>42</v>
      </c>
      <c r="CG2" s="29" t="s">
        <v>43</v>
      </c>
      <c r="CH2" s="30" t="s">
        <v>102</v>
      </c>
      <c r="CI2" s="29" t="s">
        <v>44</v>
      </c>
      <c r="CJ2" s="29" t="s">
        <v>45</v>
      </c>
      <c r="CK2" s="30" t="s">
        <v>102</v>
      </c>
      <c r="CL2" s="29" t="s">
        <v>42</v>
      </c>
      <c r="CM2" s="29" t="s">
        <v>43</v>
      </c>
      <c r="CN2" s="30" t="s">
        <v>102</v>
      </c>
      <c r="CO2" s="29" t="s">
        <v>44</v>
      </c>
      <c r="CP2" s="29" t="s">
        <v>45</v>
      </c>
      <c r="CQ2" s="30" t="s">
        <v>102</v>
      </c>
      <c r="CR2" s="29" t="s">
        <v>42</v>
      </c>
      <c r="CS2" s="29" t="s">
        <v>43</v>
      </c>
      <c r="CT2" s="30" t="s">
        <v>102</v>
      </c>
      <c r="CU2" s="29" t="s">
        <v>44</v>
      </c>
      <c r="CV2" s="29" t="s">
        <v>45</v>
      </c>
      <c r="CW2" s="30" t="s">
        <v>102</v>
      </c>
      <c r="CX2" s="29" t="s">
        <v>42</v>
      </c>
      <c r="CY2" s="29" t="s">
        <v>43</v>
      </c>
      <c r="CZ2" s="30" t="s">
        <v>102</v>
      </c>
      <c r="DA2" s="29" t="s">
        <v>44</v>
      </c>
      <c r="DB2" s="29" t="s">
        <v>45</v>
      </c>
      <c r="DC2" s="30" t="s">
        <v>102</v>
      </c>
      <c r="DD2" s="29" t="s">
        <v>42</v>
      </c>
      <c r="DE2" s="29" t="s">
        <v>43</v>
      </c>
      <c r="DF2" s="30" t="s">
        <v>102</v>
      </c>
      <c r="DG2" s="29" t="s">
        <v>44</v>
      </c>
      <c r="DH2" s="29" t="s">
        <v>45</v>
      </c>
      <c r="DI2" s="54" t="s">
        <v>102</v>
      </c>
      <c r="DJ2" s="58" t="s">
        <v>42</v>
      </c>
      <c r="DK2" s="56" t="s">
        <v>43</v>
      </c>
      <c r="DL2" s="57" t="s">
        <v>102</v>
      </c>
      <c r="DM2" s="56" t="s">
        <v>44</v>
      </c>
      <c r="DN2" s="56" t="s">
        <v>45</v>
      </c>
      <c r="DO2" s="59" t="s">
        <v>102</v>
      </c>
      <c r="DP2" s="65" t="s">
        <v>42</v>
      </c>
      <c r="DQ2" s="56" t="s">
        <v>43</v>
      </c>
      <c r="DR2" s="57" t="s">
        <v>102</v>
      </c>
      <c r="DS2" s="56" t="s">
        <v>44</v>
      </c>
      <c r="DT2" s="56" t="s">
        <v>45</v>
      </c>
      <c r="DU2" s="59" t="s">
        <v>102</v>
      </c>
      <c r="DV2" s="58" t="s">
        <v>42</v>
      </c>
      <c r="DW2" s="56" t="s">
        <v>43</v>
      </c>
      <c r="DX2" s="57" t="s">
        <v>102</v>
      </c>
      <c r="DY2" s="56" t="s">
        <v>44</v>
      </c>
      <c r="DZ2" s="56" t="s">
        <v>45</v>
      </c>
      <c r="EA2" s="59" t="s">
        <v>102</v>
      </c>
      <c r="EB2" s="65" t="s">
        <v>42</v>
      </c>
      <c r="EC2" s="56" t="s">
        <v>43</v>
      </c>
      <c r="ED2" s="57" t="s">
        <v>102</v>
      </c>
      <c r="EE2" s="56" t="s">
        <v>44</v>
      </c>
      <c r="EF2" s="56" t="s">
        <v>45</v>
      </c>
      <c r="EG2" s="59" t="s">
        <v>102</v>
      </c>
      <c r="EH2" s="55" t="s">
        <v>42</v>
      </c>
      <c r="EI2" s="29" t="s">
        <v>43</v>
      </c>
      <c r="EJ2" s="30" t="s">
        <v>102</v>
      </c>
      <c r="EK2" s="29" t="s">
        <v>44</v>
      </c>
      <c r="EL2" s="29" t="s">
        <v>45</v>
      </c>
      <c r="EM2" s="31" t="s">
        <v>102</v>
      </c>
      <c r="EN2" s="124" t="s">
        <v>111</v>
      </c>
      <c r="EO2" s="125"/>
      <c r="EP2" s="124" t="s">
        <v>110</v>
      </c>
      <c r="EQ2" s="125"/>
      <c r="ER2" s="124" t="s">
        <v>112</v>
      </c>
      <c r="ES2" s="125"/>
      <c r="ET2" s="124" t="s">
        <v>118</v>
      </c>
      <c r="EU2" s="125"/>
      <c r="EV2" s="124" t="s">
        <v>113</v>
      </c>
      <c r="EW2" s="125"/>
      <c r="EX2" s="124" t="s">
        <v>114</v>
      </c>
      <c r="EY2" s="125"/>
      <c r="EZ2" s="124" t="s">
        <v>115</v>
      </c>
      <c r="FA2" s="125"/>
      <c r="FB2" s="124" t="s">
        <v>119</v>
      </c>
      <c r="FC2" s="125"/>
      <c r="FD2" s="124" t="s">
        <v>14</v>
      </c>
      <c r="FE2" s="126"/>
    </row>
    <row r="3" spans="1:161" ht="16" thickTop="1" x14ac:dyDescent="0.35">
      <c r="A3" s="13" t="s">
        <v>41</v>
      </c>
      <c r="B3" s="14" t="s">
        <v>46</v>
      </c>
      <c r="C3" s="14" t="s">
        <v>60</v>
      </c>
      <c r="D3" s="15">
        <v>39334</v>
      </c>
      <c r="E3" s="14" t="s">
        <v>131</v>
      </c>
      <c r="F3" s="14" t="s">
        <v>62</v>
      </c>
      <c r="G3" s="14" t="s">
        <v>72</v>
      </c>
      <c r="H3" s="14" t="s">
        <v>70</v>
      </c>
      <c r="I3" s="14" t="s">
        <v>76</v>
      </c>
      <c r="J3" s="14" t="s">
        <v>81</v>
      </c>
      <c r="K3" s="16">
        <v>710001</v>
      </c>
      <c r="L3" s="22">
        <v>5</v>
      </c>
      <c r="M3" s="23">
        <v>5</v>
      </c>
      <c r="N3" s="23">
        <v>11</v>
      </c>
      <c r="O3" s="23">
        <v>5</v>
      </c>
      <c r="P3" s="23">
        <v>7</v>
      </c>
      <c r="Q3" s="24">
        <v>9</v>
      </c>
      <c r="R3" s="25">
        <v>3</v>
      </c>
      <c r="S3" s="23">
        <v>4</v>
      </c>
      <c r="T3" s="23">
        <v>11</v>
      </c>
      <c r="U3" s="23">
        <v>6</v>
      </c>
      <c r="V3" s="26">
        <v>3</v>
      </c>
      <c r="W3" s="27">
        <v>10</v>
      </c>
      <c r="X3" s="22">
        <v>3</v>
      </c>
      <c r="Y3" s="23">
        <v>3</v>
      </c>
      <c r="Z3" s="23">
        <v>11</v>
      </c>
      <c r="AA3" s="23">
        <v>5</v>
      </c>
      <c r="AB3" s="23">
        <v>5</v>
      </c>
      <c r="AC3" s="24">
        <v>10</v>
      </c>
      <c r="AD3" s="22">
        <v>3</v>
      </c>
      <c r="AE3" s="23">
        <v>3</v>
      </c>
      <c r="AF3" s="23">
        <v>11</v>
      </c>
      <c r="AG3" s="23">
        <v>5</v>
      </c>
      <c r="AH3" s="23">
        <v>5</v>
      </c>
      <c r="AI3" s="24">
        <v>11</v>
      </c>
      <c r="AJ3" s="25">
        <v>10</v>
      </c>
      <c r="AK3" s="23">
        <v>11</v>
      </c>
      <c r="AL3" s="23">
        <v>20</v>
      </c>
      <c r="AM3" s="23">
        <v>9</v>
      </c>
      <c r="AN3" s="26">
        <v>11</v>
      </c>
      <c r="AO3" s="27">
        <v>20</v>
      </c>
      <c r="AP3" s="22">
        <v>9</v>
      </c>
      <c r="AQ3" s="23">
        <v>9</v>
      </c>
      <c r="AR3" s="23">
        <v>22</v>
      </c>
      <c r="AS3" s="26">
        <v>10</v>
      </c>
      <c r="AT3" s="23">
        <v>12</v>
      </c>
      <c r="AU3" s="24">
        <v>30</v>
      </c>
      <c r="AV3" s="22">
        <v>9</v>
      </c>
      <c r="AW3" s="23">
        <v>9</v>
      </c>
      <c r="AX3" s="23">
        <v>22</v>
      </c>
      <c r="AY3" s="26">
        <v>10</v>
      </c>
      <c r="AZ3" s="23">
        <v>12</v>
      </c>
      <c r="BA3" s="24">
        <v>30</v>
      </c>
      <c r="BB3" s="25">
        <v>11</v>
      </c>
      <c r="BC3" s="23">
        <v>10</v>
      </c>
      <c r="BD3" s="23">
        <v>23</v>
      </c>
      <c r="BE3" s="23">
        <v>9</v>
      </c>
      <c r="BF3" s="26">
        <v>9</v>
      </c>
      <c r="BG3" s="1">
        <v>20</v>
      </c>
      <c r="BH3" s="25">
        <v>11</v>
      </c>
      <c r="BI3" s="23">
        <v>13</v>
      </c>
      <c r="BJ3" s="23">
        <v>22</v>
      </c>
      <c r="BK3" s="26">
        <v>11</v>
      </c>
      <c r="BL3" s="23">
        <v>11</v>
      </c>
      <c r="BM3" s="24">
        <v>11</v>
      </c>
      <c r="BN3" s="25">
        <v>11</v>
      </c>
      <c r="BO3" s="23">
        <v>9</v>
      </c>
      <c r="BP3" s="23">
        <v>22</v>
      </c>
      <c r="BQ3" s="23">
        <v>9</v>
      </c>
      <c r="BR3" s="26">
        <v>11</v>
      </c>
      <c r="BS3" s="27">
        <v>26</v>
      </c>
      <c r="BT3" s="22">
        <v>15</v>
      </c>
      <c r="BU3" s="23">
        <v>12</v>
      </c>
      <c r="BV3" s="23"/>
      <c r="BW3" s="26">
        <v>11</v>
      </c>
      <c r="BX3" s="23">
        <v>10</v>
      </c>
      <c r="BY3" s="24"/>
      <c r="BZ3" s="25">
        <v>11</v>
      </c>
      <c r="CA3" s="23">
        <v>9</v>
      </c>
      <c r="CB3" s="23">
        <v>22</v>
      </c>
      <c r="CC3" s="23">
        <v>9</v>
      </c>
      <c r="CD3" s="26">
        <v>11</v>
      </c>
      <c r="CE3" s="27">
        <v>26</v>
      </c>
      <c r="CF3" s="25">
        <v>11</v>
      </c>
      <c r="CG3" s="23">
        <v>9</v>
      </c>
      <c r="CH3" s="23">
        <v>22</v>
      </c>
      <c r="CI3" s="23">
        <v>9</v>
      </c>
      <c r="CJ3" s="26">
        <v>11</v>
      </c>
      <c r="CK3" s="27">
        <v>26</v>
      </c>
      <c r="CL3" s="25">
        <v>11</v>
      </c>
      <c r="CM3" s="23">
        <v>9</v>
      </c>
      <c r="CN3" s="23">
        <v>22</v>
      </c>
      <c r="CO3" s="23">
        <v>9</v>
      </c>
      <c r="CP3" s="26">
        <v>11</v>
      </c>
      <c r="CQ3" s="27">
        <v>26</v>
      </c>
      <c r="CR3" s="25">
        <v>11</v>
      </c>
      <c r="CS3" s="23">
        <v>12</v>
      </c>
      <c r="CT3" s="23"/>
      <c r="CU3" s="23">
        <v>9</v>
      </c>
      <c r="CV3" s="26">
        <v>9</v>
      </c>
      <c r="CW3" s="27"/>
      <c r="CX3" s="22">
        <v>9</v>
      </c>
      <c r="CY3" s="23">
        <v>9</v>
      </c>
      <c r="CZ3" s="23"/>
      <c r="DA3" s="23">
        <v>9</v>
      </c>
      <c r="DB3" s="26">
        <v>10</v>
      </c>
      <c r="DC3" s="27"/>
      <c r="DD3" s="22">
        <v>21</v>
      </c>
      <c r="DE3" s="23">
        <v>18</v>
      </c>
      <c r="DF3" s="23">
        <v>45</v>
      </c>
      <c r="DG3" s="23">
        <v>18</v>
      </c>
      <c r="DH3" s="23">
        <v>18</v>
      </c>
      <c r="DI3" s="26">
        <v>55</v>
      </c>
      <c r="DJ3" s="60">
        <v>11</v>
      </c>
      <c r="DK3" s="1">
        <v>12</v>
      </c>
      <c r="DL3" s="1"/>
      <c r="DM3" s="1">
        <v>9</v>
      </c>
      <c r="DN3" s="1">
        <v>9</v>
      </c>
      <c r="DO3" s="61"/>
      <c r="DP3" s="10">
        <v>11</v>
      </c>
      <c r="DQ3" s="1">
        <v>12</v>
      </c>
      <c r="DR3" s="1"/>
      <c r="DS3" s="1">
        <v>9</v>
      </c>
      <c r="DT3" s="1">
        <v>9</v>
      </c>
      <c r="DU3" s="61"/>
      <c r="DV3" s="60">
        <v>11</v>
      </c>
      <c r="DW3" s="1">
        <v>12</v>
      </c>
      <c r="DX3" s="1"/>
      <c r="DY3" s="1">
        <v>9</v>
      </c>
      <c r="DZ3" s="1">
        <v>9</v>
      </c>
      <c r="EA3" s="61"/>
      <c r="EB3" s="10">
        <v>26</v>
      </c>
      <c r="EC3" s="1">
        <v>33</v>
      </c>
      <c r="ED3" s="1">
        <v>55</v>
      </c>
      <c r="EE3" s="1">
        <v>25</v>
      </c>
      <c r="EF3" s="1">
        <v>30</v>
      </c>
      <c r="EG3" s="61">
        <v>55</v>
      </c>
      <c r="EH3" s="25">
        <v>30</v>
      </c>
      <c r="EI3" s="23">
        <v>29</v>
      </c>
      <c r="EJ3" s="23">
        <v>54</v>
      </c>
      <c r="EK3" s="23">
        <v>33</v>
      </c>
      <c r="EL3" s="26">
        <v>23</v>
      </c>
      <c r="EM3" s="1">
        <v>56</v>
      </c>
      <c r="EN3" s="51">
        <f>SUM(L3,R3,X3,AD3,AJ3,AP3,AV3,BB3,BH3,BN3,BT3,BZ3,CF3,CL3,CR3,CX3,DD3,DJ3,DP3,DV3,EB3,EH3)/BULLETIN!$B$38*100</f>
        <v>42.881355932203391</v>
      </c>
      <c r="EO3" s="52" t="str">
        <f>RANK(EN3,$EN$3:$EN$72)&amp;"e"</f>
        <v>9e</v>
      </c>
      <c r="EP3" s="51">
        <f>SUM(M3,S3,Y3,AE3,AK3,AQ3,AW3,BC3,BI3,BO3,BU3,CA3,CG3,CS3,CY3,DE3,DK3,DQ3,EC3,EI3,CM3,DW3)/BULLETIN!$C$38*100</f>
        <v>42.711864406779661</v>
      </c>
      <c r="EQ3" s="52" t="str">
        <f>RANK(EP3,$EP$3:$EP$72)&amp;"e"</f>
        <v>9e</v>
      </c>
      <c r="ER3" s="51">
        <f>SUM(N3,T3,Z3,AF3,AL3,AR3,AX3,BD3,BJ3,BP3,BV3,CB3,CH3,CT3,CZ3,DF3,DL3,DR3,ED3,EJ3,CN3,DX3)/BULLETIN!$D$38*100</f>
        <v>33.474576271186443</v>
      </c>
      <c r="ES3" s="52" t="str">
        <f>RANK(ER3,$ER$3:$ER$72)&amp;"e"</f>
        <v>3e</v>
      </c>
      <c r="ET3" s="51">
        <f>SUM(L3:N3,R3:T3,X3:Z3,AD3:AF3,AJ3:AL3,AP3:AR3,AV3:AX3,BB3:BD3,BH3:BJ3,BN3:BP3,BT3:BV3,BZ3:CB3,CF3:CH3,CR3:CT3,CX3:CZ3,DD3:DF3,DJ3:DL3,DP3:DR3,EB3:ED3,EH3:EJ3,CL3:CN3,DV3:DX3)/BULLETIN!$E$38*100</f>
        <v>38.135593220338983</v>
      </c>
      <c r="EU3" s="52" t="str">
        <f>RANK(ET3,$ET$3:$ET$72)&amp;"e"</f>
        <v>9e</v>
      </c>
      <c r="EV3" s="51">
        <f>SUM(O3,U3,AA3,AG3,AM3,AS3,AY3,BE3,BK3,BQ3,BW3,CC3,CI3,CU3,DA3,DG3,DM3,DS3,EE3,EK3,CO3,DY3)/BULLETIN!$F$38*100</f>
        <v>40.33898305084746</v>
      </c>
      <c r="EW3" s="52" t="str">
        <f>RANK(EV3,$EV$3:$EV$72)&amp;"e"</f>
        <v>9e</v>
      </c>
      <c r="EX3" s="51">
        <f>SUM(P3,V3,AB3,AH3,AN3,AT3,AZ3,BF3,BL3,BR3,BX3,CD3,CJ3,CV3,DB3,DH3,DN3,DS3,EF3,EL3,CP3,DZ3)/BULLETIN!$G$38*100</f>
        <v>41.694915254237287</v>
      </c>
      <c r="EY3" s="52" t="str">
        <f>RANK(EX3,$EX$3:$EX$72)&amp;"e"</f>
        <v>9e</v>
      </c>
      <c r="EZ3" s="51">
        <f>SUM(Q3,W3,AC3,AI3,AO3,AU3,BA3,BG3,BM3,BS3,BY3,CE3,CK3,CW3,DC3,DI3,DO3,DU3,EG3,EM3,EA3,CQ3)/BULLETIN!$H$38*100</f>
        <v>35.677966101694913</v>
      </c>
      <c r="FA3" s="52" t="str">
        <f>RANK(EZ3,$EZ$3:$EZ$72)&amp;"e"</f>
        <v>1e</v>
      </c>
      <c r="FB3" s="51">
        <f>SUM(O3:Q3,U3:W3,AA3:AC3,AG3:AI3,AM3:AO3,AS3:AU3,AY3:BA3,BE3:BG3,BK3:BM3,BQ3:BS3,BW3:BY3,CC3:CE3,CI3:CK3,CU3:CW3,DA3:DC3,DM3:DO3,DS3:DU3,EE3:EG3,EK3:EM3,DG3:DI3,CO3:CQ3,DY3:EA3)/BULLETIN!$I$38*100</f>
        <v>38.347457627118644</v>
      </c>
      <c r="FC3" s="52" t="str">
        <f>RANK(FB3,$FB$3:$FB$72)&amp;"e"</f>
        <v>9e</v>
      </c>
      <c r="FD3" s="51">
        <f>SUM(L3:EM3)/BULLETIN!$J$38*100</f>
        <v>38.24152542372881</v>
      </c>
      <c r="FE3" s="52" t="str">
        <f>RANK(FD3,$FD$3:$FD$72)&amp;"e"</f>
        <v>9e</v>
      </c>
    </row>
    <row r="4" spans="1:161" ht="15.5" x14ac:dyDescent="0.35">
      <c r="A4" s="13" t="s">
        <v>40</v>
      </c>
      <c r="B4" s="14" t="s">
        <v>47</v>
      </c>
      <c r="C4" s="14" t="s">
        <v>60</v>
      </c>
      <c r="D4" s="15">
        <v>39854</v>
      </c>
      <c r="E4" s="14" t="s">
        <v>131</v>
      </c>
      <c r="F4" s="14" t="s">
        <v>63</v>
      </c>
      <c r="G4" s="14" t="s">
        <v>71</v>
      </c>
      <c r="H4" s="14" t="s">
        <v>70</v>
      </c>
      <c r="I4" s="14" t="s">
        <v>77</v>
      </c>
      <c r="J4" s="14" t="s">
        <v>81</v>
      </c>
      <c r="K4" s="16">
        <v>710002</v>
      </c>
      <c r="L4" s="8">
        <v>3</v>
      </c>
      <c r="M4" s="1">
        <v>2</v>
      </c>
      <c r="N4" s="1">
        <v>12</v>
      </c>
      <c r="O4" s="1">
        <v>8</v>
      </c>
      <c r="P4" s="1">
        <v>6</v>
      </c>
      <c r="Q4" s="9">
        <v>10</v>
      </c>
      <c r="R4" s="10">
        <v>6</v>
      </c>
      <c r="S4" s="1">
        <v>5</v>
      </c>
      <c r="T4" s="1">
        <v>11</v>
      </c>
      <c r="U4" s="1">
        <v>3</v>
      </c>
      <c r="V4" s="2">
        <v>9</v>
      </c>
      <c r="W4" s="18">
        <v>11</v>
      </c>
      <c r="X4" s="8">
        <v>5</v>
      </c>
      <c r="Y4" s="1">
        <v>8</v>
      </c>
      <c r="Z4" s="1">
        <v>13</v>
      </c>
      <c r="AA4" s="1">
        <v>6</v>
      </c>
      <c r="AB4" s="1">
        <v>7</v>
      </c>
      <c r="AC4" s="9">
        <v>11</v>
      </c>
      <c r="AD4" s="8">
        <v>5</v>
      </c>
      <c r="AE4" s="1">
        <v>8</v>
      </c>
      <c r="AF4" s="1">
        <v>13</v>
      </c>
      <c r="AG4" s="1">
        <v>6</v>
      </c>
      <c r="AH4" s="1">
        <v>7</v>
      </c>
      <c r="AI4" s="9">
        <v>11</v>
      </c>
      <c r="AJ4" s="10">
        <v>9</v>
      </c>
      <c r="AK4" s="1">
        <v>10</v>
      </c>
      <c r="AL4" s="1">
        <v>20</v>
      </c>
      <c r="AM4" s="1">
        <v>11</v>
      </c>
      <c r="AN4" s="2">
        <v>14</v>
      </c>
      <c r="AO4" s="18">
        <v>21</v>
      </c>
      <c r="AP4" s="8">
        <v>12</v>
      </c>
      <c r="AQ4" s="1">
        <v>12</v>
      </c>
      <c r="AR4" s="1">
        <v>22</v>
      </c>
      <c r="AS4" s="2">
        <v>10</v>
      </c>
      <c r="AT4" s="1">
        <v>9</v>
      </c>
      <c r="AU4" s="9">
        <v>29</v>
      </c>
      <c r="AV4" s="8">
        <v>12</v>
      </c>
      <c r="AW4" s="1">
        <v>12</v>
      </c>
      <c r="AX4" s="1">
        <v>22</v>
      </c>
      <c r="AY4" s="2">
        <v>10</v>
      </c>
      <c r="AZ4" s="1">
        <v>9</v>
      </c>
      <c r="BA4" s="9">
        <v>29</v>
      </c>
      <c r="BB4" s="10">
        <v>13</v>
      </c>
      <c r="BC4" s="1">
        <v>14</v>
      </c>
      <c r="BD4" s="1">
        <v>23</v>
      </c>
      <c r="BE4" s="1">
        <v>11</v>
      </c>
      <c r="BF4" s="2">
        <v>11</v>
      </c>
      <c r="BG4" s="1">
        <v>22</v>
      </c>
      <c r="BH4" s="10">
        <v>10</v>
      </c>
      <c r="BI4" s="1">
        <v>15</v>
      </c>
      <c r="BJ4" s="1">
        <v>22</v>
      </c>
      <c r="BK4" s="2">
        <v>12</v>
      </c>
      <c r="BL4" s="1">
        <v>12</v>
      </c>
      <c r="BM4" s="9">
        <v>11</v>
      </c>
      <c r="BN4" s="10">
        <v>13</v>
      </c>
      <c r="BO4" s="1">
        <v>15</v>
      </c>
      <c r="BP4" s="1">
        <v>21</v>
      </c>
      <c r="BQ4" s="1">
        <v>10</v>
      </c>
      <c r="BR4" s="2">
        <v>12</v>
      </c>
      <c r="BS4" s="18">
        <v>22</v>
      </c>
      <c r="BT4" s="8">
        <v>10</v>
      </c>
      <c r="BU4" s="1">
        <v>11</v>
      </c>
      <c r="BV4" s="1"/>
      <c r="BW4" s="2">
        <v>11</v>
      </c>
      <c r="BX4" s="1">
        <v>11</v>
      </c>
      <c r="BY4" s="9"/>
      <c r="BZ4" s="10">
        <v>13</v>
      </c>
      <c r="CA4" s="1">
        <v>15</v>
      </c>
      <c r="CB4" s="1">
        <v>21</v>
      </c>
      <c r="CC4" s="1">
        <v>10</v>
      </c>
      <c r="CD4" s="2">
        <v>12</v>
      </c>
      <c r="CE4" s="18">
        <v>22</v>
      </c>
      <c r="CF4" s="10">
        <v>13</v>
      </c>
      <c r="CG4" s="1">
        <v>15</v>
      </c>
      <c r="CH4" s="1">
        <v>21</v>
      </c>
      <c r="CI4" s="1">
        <v>10</v>
      </c>
      <c r="CJ4" s="2">
        <v>12</v>
      </c>
      <c r="CK4" s="18">
        <v>22</v>
      </c>
      <c r="CL4" s="10">
        <v>13</v>
      </c>
      <c r="CM4" s="1">
        <v>15</v>
      </c>
      <c r="CN4" s="1">
        <v>21</v>
      </c>
      <c r="CO4" s="1">
        <v>10</v>
      </c>
      <c r="CP4" s="2">
        <v>12</v>
      </c>
      <c r="CQ4" s="18">
        <v>22</v>
      </c>
      <c r="CR4" s="10">
        <v>13</v>
      </c>
      <c r="CS4" s="1">
        <v>17</v>
      </c>
      <c r="CT4" s="1"/>
      <c r="CU4" s="1">
        <v>12</v>
      </c>
      <c r="CV4" s="2">
        <v>11</v>
      </c>
      <c r="CW4" s="18"/>
      <c r="CX4" s="8">
        <v>10</v>
      </c>
      <c r="CY4" s="1">
        <v>11</v>
      </c>
      <c r="CZ4" s="1"/>
      <c r="DA4" s="1">
        <v>15</v>
      </c>
      <c r="DB4" s="2">
        <v>16</v>
      </c>
      <c r="DC4" s="18"/>
      <c r="DD4" s="8">
        <v>18</v>
      </c>
      <c r="DE4" s="1">
        <v>21</v>
      </c>
      <c r="DF4" s="1">
        <v>34</v>
      </c>
      <c r="DG4" s="1">
        <v>18</v>
      </c>
      <c r="DH4" s="1">
        <v>18</v>
      </c>
      <c r="DI4" s="2">
        <v>45</v>
      </c>
      <c r="DJ4" s="60">
        <v>13</v>
      </c>
      <c r="DK4" s="1">
        <v>17</v>
      </c>
      <c r="DL4" s="1"/>
      <c r="DM4" s="1">
        <v>12</v>
      </c>
      <c r="DN4" s="1">
        <v>11</v>
      </c>
      <c r="DO4" s="61"/>
      <c r="DP4" s="10">
        <v>13</v>
      </c>
      <c r="DQ4" s="1">
        <v>17</v>
      </c>
      <c r="DR4" s="1"/>
      <c r="DS4" s="1">
        <v>12</v>
      </c>
      <c r="DT4" s="1">
        <v>11</v>
      </c>
      <c r="DU4" s="61"/>
      <c r="DV4" s="60">
        <v>13</v>
      </c>
      <c r="DW4" s="1">
        <v>17</v>
      </c>
      <c r="DX4" s="1"/>
      <c r="DY4" s="1">
        <v>12</v>
      </c>
      <c r="DZ4" s="1">
        <v>11</v>
      </c>
      <c r="EA4" s="61"/>
      <c r="EB4" s="10">
        <v>30</v>
      </c>
      <c r="EC4" s="1">
        <v>29</v>
      </c>
      <c r="ED4" s="1">
        <v>56</v>
      </c>
      <c r="EE4" s="1">
        <v>32</v>
      </c>
      <c r="EF4" s="1">
        <v>33</v>
      </c>
      <c r="EG4" s="61">
        <v>60</v>
      </c>
      <c r="EH4" s="10">
        <v>34</v>
      </c>
      <c r="EI4" s="1">
        <v>36</v>
      </c>
      <c r="EJ4" s="1">
        <v>55</v>
      </c>
      <c r="EK4" s="1">
        <v>25</v>
      </c>
      <c r="EL4" s="2">
        <v>25</v>
      </c>
      <c r="EM4" s="1">
        <v>59</v>
      </c>
      <c r="EN4" s="51">
        <f>SUM(L4,R4,X4,AD4,AJ4,AP4,AV4,BB4,BH4,BN4,BT4,BZ4,CF4,CL4,CR4,CX4,DD4,DJ4,DP4,DV4,EB4,EH4)/BULLETIN!$B$38*100</f>
        <v>47.627118644067792</v>
      </c>
      <c r="EO4" s="52" t="str">
        <f t="shared" ref="EO4:EO67" si="0">RANK(EN4,$EN$3:$EN$72)&amp;"e"</f>
        <v>3e</v>
      </c>
      <c r="EP4" s="51">
        <f>SUM(M4,S4,Y4,AE4,AK4,AQ4,AW4,BC4,BI4,BO4,BU4,CA4,CG4,CS4,CY4,DE4,DK4,DQ4,EC4,EI4,CM4,DW4)/BULLETIN!$C$38*100</f>
        <v>54.576271186440671</v>
      </c>
      <c r="EQ4" s="52" t="str">
        <f t="shared" ref="EQ4:EQ67" si="1">RANK(EP4,$EP$3:$EP$72)&amp;"e"</f>
        <v>2e</v>
      </c>
      <c r="ER4" s="51">
        <f>SUM(N4,T4,Z4,AF4,AL4,AR4,AX4,BD4,BJ4,BP4,BV4,CB4,CH4,CT4,CZ4,DF4,DL4,DR4,ED4,EJ4,CN4,DX4)/BULLETIN!$D$38*100</f>
        <v>32.796610169491522</v>
      </c>
      <c r="ES4" s="52" t="str">
        <f t="shared" ref="ES4:ES67" si="2">RANK(ER4,$ER$3:$ER$72)&amp;"e"</f>
        <v>8e</v>
      </c>
      <c r="ET4" s="51">
        <f>SUM(L4:N4,R4:T4,X4:Z4,AD4:AF4,AJ4:AL4,AP4:AR4,AV4:AX4,BB4:BD4,BH4:BJ4,BN4:BP4,BT4:BV4,BZ4:CB4,CF4:CH4,CR4:CT4,CX4:CZ4,DD4:DF4,DJ4:DL4,DP4:DR4,EB4:ED4,EH4:EJ4,CL4:CN4,DV4:DX4)/BULLETIN!$E$38*100</f>
        <v>41.949152542372879</v>
      </c>
      <c r="EU4" s="52" t="str">
        <f t="shared" ref="EU4:EU67" si="3">RANK(ET4,$ET$3:$ET$72)&amp;"e"</f>
        <v>3e</v>
      </c>
      <c r="EV4" s="51">
        <f>SUM(O4,U4,AA4,AG4,AM4,AS4,AY4,BE4,BK4,BQ4,BW4,CC4,CI4,CU4,DA4,DG4,DM4,DS4,EE4,EK4,CO4,DY4)/BULLETIN!$F$38*100</f>
        <v>45.084745762711862</v>
      </c>
      <c r="EW4" s="52" t="str">
        <f t="shared" ref="EW4:EW67" si="4">RANK(EV4,$EV$3:$EV$72)&amp;"e"</f>
        <v>7e</v>
      </c>
      <c r="EX4" s="51">
        <f>SUM(P4,V4,AB4,AH4,AN4,AT4,AZ4,BF4,BL4,BR4,BX4,CD4,CJ4,CV4,DB4,DH4,DN4,DS4,EF4,EL4,CP4,DZ4)/BULLETIN!$G$38*100</f>
        <v>47.457627118644069</v>
      </c>
      <c r="EY4" s="52" t="str">
        <f t="shared" ref="EY4:EY67" si="5">RANK(EX4,$EX$3:$EX$72)&amp;"e"</f>
        <v>5e</v>
      </c>
      <c r="EZ4" s="51">
        <f>SUM(Q4,W4,AC4,AI4,AO4,AU4,BA4,BG4,BM4,BS4,BY4,CE4,CK4,CW4,DC4,DI4,DO4,DU4,EG4,EM4,EA4,CQ4)/BULLETIN!$H$38*100</f>
        <v>34.491525423728817</v>
      </c>
      <c r="FA4" s="52" t="str">
        <f t="shared" ref="FA4:FA67" si="6">RANK(EZ4,$EZ$3:$EZ$72)&amp;"e"</f>
        <v>3e</v>
      </c>
      <c r="FB4" s="51">
        <f>SUM(O4:Q4,U4:W4,AA4:AC4,AG4:AI4,AM4:AO4,AS4:AU4,AY4:BA4,BE4:BG4,BK4:BM4,BQ4:BS4,BW4:BY4,CC4:CE4,CI4:CK4,CU4:CW4,DA4:DC4,DM4:DO4,DS4:DU4,EE4:EG4,EK4:EM4,DG4:DI4,CO4:CQ4,DY4:EA4)/BULLETIN!$I$38*100</f>
        <v>40.33898305084746</v>
      </c>
      <c r="FC4" s="52" t="str">
        <f t="shared" ref="FC4:FC67" si="7">RANK(FB4,$FB$3:$FB$72)&amp;"e"</f>
        <v>6e</v>
      </c>
      <c r="FD4" s="51">
        <f>SUM(L4:EM4)/BULLETIN!$J$38*100</f>
        <v>41.144067796610166</v>
      </c>
      <c r="FE4" s="52" t="str">
        <f t="shared" ref="FE4:FE67" si="8">RANK(FD4,$FD$3:$FD$72)&amp;"e"</f>
        <v>3e</v>
      </c>
    </row>
    <row r="5" spans="1:161" ht="15.5" x14ac:dyDescent="0.35">
      <c r="A5" s="13" t="s">
        <v>54</v>
      </c>
      <c r="B5" s="14" t="s">
        <v>48</v>
      </c>
      <c r="C5" s="14" t="s">
        <v>61</v>
      </c>
      <c r="D5" s="15">
        <v>39541</v>
      </c>
      <c r="E5" s="14" t="s">
        <v>131</v>
      </c>
      <c r="F5" s="14" t="s">
        <v>66</v>
      </c>
      <c r="G5" s="14" t="s">
        <v>73</v>
      </c>
      <c r="H5" s="14" t="s">
        <v>70</v>
      </c>
      <c r="I5" s="14" t="s">
        <v>78</v>
      </c>
      <c r="J5" s="14" t="s">
        <v>81</v>
      </c>
      <c r="K5" s="16">
        <v>710003</v>
      </c>
      <c r="L5" s="8">
        <v>5</v>
      </c>
      <c r="M5" s="1">
        <v>4</v>
      </c>
      <c r="N5" s="1">
        <v>11</v>
      </c>
      <c r="O5" s="1">
        <v>6</v>
      </c>
      <c r="P5" s="1">
        <v>3</v>
      </c>
      <c r="Q5" s="9">
        <v>11</v>
      </c>
      <c r="R5" s="10">
        <v>3</v>
      </c>
      <c r="S5" s="1">
        <v>4</v>
      </c>
      <c r="T5" s="1">
        <v>10</v>
      </c>
      <c r="U5" s="1">
        <v>5</v>
      </c>
      <c r="V5" s="2">
        <v>6</v>
      </c>
      <c r="W5" s="18">
        <v>9</v>
      </c>
      <c r="X5" s="8">
        <v>6</v>
      </c>
      <c r="Y5" s="1">
        <v>6</v>
      </c>
      <c r="Z5" s="1">
        <v>12</v>
      </c>
      <c r="AA5" s="1">
        <v>6</v>
      </c>
      <c r="AB5" s="1">
        <v>7</v>
      </c>
      <c r="AC5" s="9">
        <v>10</v>
      </c>
      <c r="AD5" s="8">
        <v>6</v>
      </c>
      <c r="AE5" s="1">
        <v>6</v>
      </c>
      <c r="AF5" s="1">
        <v>12</v>
      </c>
      <c r="AG5" s="1">
        <v>6</v>
      </c>
      <c r="AH5" s="1">
        <v>7</v>
      </c>
      <c r="AI5" s="9">
        <v>15</v>
      </c>
      <c r="AJ5" s="10">
        <v>10</v>
      </c>
      <c r="AK5" s="1">
        <v>12</v>
      </c>
      <c r="AL5" s="1">
        <v>20</v>
      </c>
      <c r="AM5" s="1">
        <v>11</v>
      </c>
      <c r="AN5" s="2">
        <v>11</v>
      </c>
      <c r="AO5" s="18">
        <v>22</v>
      </c>
      <c r="AP5" s="8">
        <v>15</v>
      </c>
      <c r="AQ5" s="1">
        <v>15</v>
      </c>
      <c r="AR5" s="1">
        <v>23</v>
      </c>
      <c r="AS5" s="2">
        <v>15</v>
      </c>
      <c r="AT5" s="1">
        <v>11</v>
      </c>
      <c r="AU5" s="9">
        <v>25</v>
      </c>
      <c r="AV5" s="8">
        <v>15</v>
      </c>
      <c r="AW5" s="1">
        <v>15</v>
      </c>
      <c r="AX5" s="1">
        <v>23</v>
      </c>
      <c r="AY5" s="2">
        <v>15</v>
      </c>
      <c r="AZ5" s="1">
        <v>11</v>
      </c>
      <c r="BA5" s="9">
        <v>25</v>
      </c>
      <c r="BB5" s="10">
        <v>11</v>
      </c>
      <c r="BC5" s="1">
        <v>12</v>
      </c>
      <c r="BD5" s="1">
        <v>24</v>
      </c>
      <c r="BE5" s="1">
        <v>17</v>
      </c>
      <c r="BF5" s="2">
        <v>12</v>
      </c>
      <c r="BG5" s="1">
        <v>21</v>
      </c>
      <c r="BH5" s="10">
        <v>11</v>
      </c>
      <c r="BI5" s="1">
        <v>13</v>
      </c>
      <c r="BJ5" s="1">
        <v>22</v>
      </c>
      <c r="BK5" s="2">
        <v>12</v>
      </c>
      <c r="BL5" s="1">
        <v>9</v>
      </c>
      <c r="BM5" s="9">
        <v>11</v>
      </c>
      <c r="BN5" s="10">
        <v>9</v>
      </c>
      <c r="BO5" s="1">
        <v>11</v>
      </c>
      <c r="BP5" s="1">
        <v>20</v>
      </c>
      <c r="BQ5" s="1">
        <v>18</v>
      </c>
      <c r="BR5" s="2">
        <v>11</v>
      </c>
      <c r="BS5" s="18">
        <v>21</v>
      </c>
      <c r="BT5" s="8">
        <v>13</v>
      </c>
      <c r="BU5" s="1">
        <v>15</v>
      </c>
      <c r="BV5" s="1"/>
      <c r="BW5" s="2">
        <v>17</v>
      </c>
      <c r="BX5" s="1">
        <v>12</v>
      </c>
      <c r="BY5" s="9"/>
      <c r="BZ5" s="10">
        <v>9</v>
      </c>
      <c r="CA5" s="1">
        <v>11</v>
      </c>
      <c r="CB5" s="1">
        <v>20</v>
      </c>
      <c r="CC5" s="1">
        <v>18</v>
      </c>
      <c r="CD5" s="2">
        <v>11</v>
      </c>
      <c r="CE5" s="18">
        <v>21</v>
      </c>
      <c r="CF5" s="10">
        <v>9</v>
      </c>
      <c r="CG5" s="1">
        <v>11</v>
      </c>
      <c r="CH5" s="1">
        <v>20</v>
      </c>
      <c r="CI5" s="1">
        <v>18</v>
      </c>
      <c r="CJ5" s="2">
        <v>11</v>
      </c>
      <c r="CK5" s="18">
        <v>21</v>
      </c>
      <c r="CL5" s="10">
        <v>9</v>
      </c>
      <c r="CM5" s="1">
        <v>11</v>
      </c>
      <c r="CN5" s="1">
        <v>20</v>
      </c>
      <c r="CO5" s="1">
        <v>18</v>
      </c>
      <c r="CP5" s="2">
        <v>11</v>
      </c>
      <c r="CQ5" s="18">
        <v>21</v>
      </c>
      <c r="CR5" s="10">
        <v>11</v>
      </c>
      <c r="CS5" s="1">
        <v>11</v>
      </c>
      <c r="CT5" s="1"/>
      <c r="CU5" s="1">
        <v>10</v>
      </c>
      <c r="CV5" s="2">
        <v>9</v>
      </c>
      <c r="CW5" s="18"/>
      <c r="CX5" s="8">
        <v>9</v>
      </c>
      <c r="CY5" s="1">
        <v>9</v>
      </c>
      <c r="CZ5" s="1"/>
      <c r="DA5" s="1">
        <v>11</v>
      </c>
      <c r="DB5" s="2">
        <v>11</v>
      </c>
      <c r="DC5" s="18"/>
      <c r="DD5" s="8">
        <v>21</v>
      </c>
      <c r="DE5" s="1">
        <v>18</v>
      </c>
      <c r="DF5" s="1">
        <v>40</v>
      </c>
      <c r="DG5" s="1">
        <v>20</v>
      </c>
      <c r="DH5" s="1">
        <v>21</v>
      </c>
      <c r="DI5" s="2">
        <v>44</v>
      </c>
      <c r="DJ5" s="60">
        <v>11</v>
      </c>
      <c r="DK5" s="1">
        <v>11</v>
      </c>
      <c r="DL5" s="1"/>
      <c r="DM5" s="1">
        <v>10</v>
      </c>
      <c r="DN5" s="1">
        <v>9</v>
      </c>
      <c r="DO5" s="61"/>
      <c r="DP5" s="10">
        <v>11</v>
      </c>
      <c r="DQ5" s="1">
        <v>11</v>
      </c>
      <c r="DR5" s="1"/>
      <c r="DS5" s="1">
        <v>10</v>
      </c>
      <c r="DT5" s="1">
        <v>9</v>
      </c>
      <c r="DU5" s="61"/>
      <c r="DV5" s="60">
        <v>11</v>
      </c>
      <c r="DW5" s="1">
        <v>11</v>
      </c>
      <c r="DX5" s="1"/>
      <c r="DY5" s="1">
        <v>10</v>
      </c>
      <c r="DZ5" s="1">
        <v>9</v>
      </c>
      <c r="EA5" s="61"/>
      <c r="EB5" s="10">
        <v>35</v>
      </c>
      <c r="EC5" s="1">
        <v>23</v>
      </c>
      <c r="ED5" s="1">
        <v>54</v>
      </c>
      <c r="EE5" s="1">
        <v>37</v>
      </c>
      <c r="EF5" s="1">
        <v>43</v>
      </c>
      <c r="EG5" s="61">
        <v>49</v>
      </c>
      <c r="EH5" s="10">
        <v>39</v>
      </c>
      <c r="EI5" s="1">
        <v>41</v>
      </c>
      <c r="EJ5" s="1">
        <v>53</v>
      </c>
      <c r="EK5" s="1">
        <v>40</v>
      </c>
      <c r="EL5" s="2">
        <v>32</v>
      </c>
      <c r="EM5" s="1">
        <v>57</v>
      </c>
      <c r="EN5" s="51">
        <f>SUM(L5,R5,X5,AD5,AJ5,AP5,AV5,BB5,BH5,BN5,BT5,BZ5,CF5,CL5,CR5,CX5,DD5,DJ5,DP5,DV5,EB5,EH5)/BULLETIN!$B$38*100</f>
        <v>47.288135593220339</v>
      </c>
      <c r="EO5" s="52" t="str">
        <f t="shared" si="0"/>
        <v>4e</v>
      </c>
      <c r="EP5" s="51">
        <f>SUM(M5,S5,Y5,AE5,AK5,AQ5,AW5,BC5,BI5,BO5,BU5,CA5,CG5,CS5,CY5,DE5,DK5,DQ5,EC5,EI5,CM5,DW5)/BULLETIN!$C$38*100</f>
        <v>47.627118644067792</v>
      </c>
      <c r="EQ5" s="52" t="str">
        <f t="shared" si="1"/>
        <v>8e</v>
      </c>
      <c r="ER5" s="51">
        <f>SUM(N5,T5,Z5,AF5,AL5,AR5,AX5,BD5,BJ5,BP5,BV5,CB5,CH5,CT5,CZ5,DF5,DL5,DR5,ED5,EJ5,CN5,DX5)/BULLETIN!$D$38*100</f>
        <v>32.542372881355931</v>
      </c>
      <c r="ES5" s="52" t="str">
        <f t="shared" si="2"/>
        <v>9e</v>
      </c>
      <c r="ET5" s="51">
        <f>SUM(L5:N5,R5:T5,X5:Z5,AD5:AF5,AJ5:AL5,AP5:AR5,AV5:AX5,BB5:BD5,BH5:BJ5,BN5:BP5,BT5:BV5,BZ5:CB5,CF5:CH5,CR5:CT5,CX5:CZ5,DD5:DF5,DJ5:DL5,DP5:DR5,EB5:ED5,EH5:EJ5,CL5:CN5,DV5:DX5)/BULLETIN!$E$38*100</f>
        <v>40</v>
      </c>
      <c r="EU5" s="52" t="str">
        <f t="shared" si="3"/>
        <v>7e</v>
      </c>
      <c r="EV5" s="51">
        <f>SUM(O5,U5,AA5,AG5,AM5,AS5,AY5,BE5,BK5,BQ5,BW5,CC5,CI5,CU5,DA5,DG5,DM5,DS5,EE5,EK5,CO5,DY5)/BULLETIN!$F$38*100</f>
        <v>55.932203389830505</v>
      </c>
      <c r="EW5" s="52" t="str">
        <f t="shared" si="4"/>
        <v>1e</v>
      </c>
      <c r="EX5" s="51">
        <f>SUM(P5,V5,AB5,AH5,AN5,AT5,AZ5,BF5,BL5,BR5,BX5,CD5,CJ5,CV5,DB5,DH5,DN5,DS5,EF5,EL5,CP5,DZ5)/BULLETIN!$G$38*100</f>
        <v>46.949152542372879</v>
      </c>
      <c r="EY5" s="52" t="str">
        <f t="shared" si="5"/>
        <v>7e</v>
      </c>
      <c r="EZ5" s="51">
        <f>SUM(Q5,W5,AC5,AI5,AO5,AU5,BA5,BG5,BM5,BS5,BY5,CE5,CK5,CW5,DC5,DI5,DO5,DU5,EG5,EM5,EA5,CQ5)/BULLETIN!$H$38*100</f>
        <v>32.457627118644069</v>
      </c>
      <c r="FA5" s="52" t="str">
        <f t="shared" si="6"/>
        <v>7e</v>
      </c>
      <c r="FB5" s="51">
        <f>SUM(O5:Q5,U5:W5,AA5:AC5,AG5:AI5,AM5:AO5,AS5:AU5,AY5:BA5,BE5:BG5,BK5:BM5,BQ5:BS5,BW5:BY5,CC5:CE5,CI5:CK5,CU5:CW5,DA5:DC5,DM5:DO5,DS5:DU5,EE5:EG5,EK5:EM5,DG5:DI5,CO5:CQ5,DY5:EA5)/BULLETIN!$I$38*100</f>
        <v>41.906779661016955</v>
      </c>
      <c r="FC5" s="52" t="str">
        <f t="shared" si="7"/>
        <v>2e</v>
      </c>
      <c r="FD5" s="51">
        <f>SUM(L5:EM5)/BULLETIN!$J$38*100</f>
        <v>40.953389830508478</v>
      </c>
      <c r="FE5" s="52" t="str">
        <f t="shared" si="8"/>
        <v>4e</v>
      </c>
    </row>
    <row r="6" spans="1:161" ht="15.5" x14ac:dyDescent="0.35">
      <c r="A6" s="13" t="s">
        <v>55</v>
      </c>
      <c r="B6" s="14" t="s">
        <v>49</v>
      </c>
      <c r="C6" s="14" t="s">
        <v>60</v>
      </c>
      <c r="D6" s="15">
        <v>40529</v>
      </c>
      <c r="E6" s="14" t="s">
        <v>131</v>
      </c>
      <c r="F6" s="14" t="s">
        <v>64</v>
      </c>
      <c r="G6" s="14" t="s">
        <v>74</v>
      </c>
      <c r="H6" s="14" t="s">
        <v>70</v>
      </c>
      <c r="I6" s="14" t="s">
        <v>79</v>
      </c>
      <c r="J6" s="14" t="s">
        <v>81</v>
      </c>
      <c r="K6" s="16">
        <v>710004</v>
      </c>
      <c r="L6" s="8">
        <v>5</v>
      </c>
      <c r="M6" s="1">
        <v>7</v>
      </c>
      <c r="N6" s="1">
        <v>10</v>
      </c>
      <c r="O6" s="1">
        <v>8</v>
      </c>
      <c r="P6" s="1">
        <v>5</v>
      </c>
      <c r="Q6" s="9">
        <v>10</v>
      </c>
      <c r="R6" s="10">
        <v>5</v>
      </c>
      <c r="S6" s="1">
        <v>7</v>
      </c>
      <c r="T6" s="1">
        <v>12</v>
      </c>
      <c r="U6" s="1">
        <v>6</v>
      </c>
      <c r="V6" s="2">
        <v>7</v>
      </c>
      <c r="W6" s="18">
        <v>9</v>
      </c>
      <c r="X6" s="8">
        <v>5</v>
      </c>
      <c r="Y6" s="1">
        <v>8</v>
      </c>
      <c r="Z6" s="1">
        <v>11</v>
      </c>
      <c r="AA6" s="1">
        <v>6</v>
      </c>
      <c r="AB6" s="1">
        <v>4</v>
      </c>
      <c r="AC6" s="9">
        <v>9</v>
      </c>
      <c r="AD6" s="8">
        <v>5</v>
      </c>
      <c r="AE6" s="1">
        <v>8</v>
      </c>
      <c r="AF6" s="1">
        <v>11</v>
      </c>
      <c r="AG6" s="1">
        <v>6</v>
      </c>
      <c r="AH6" s="1">
        <v>4</v>
      </c>
      <c r="AI6" s="9">
        <v>11</v>
      </c>
      <c r="AJ6" s="10">
        <v>9</v>
      </c>
      <c r="AK6" s="1">
        <v>17</v>
      </c>
      <c r="AL6" s="1">
        <v>22</v>
      </c>
      <c r="AM6" s="1">
        <v>9</v>
      </c>
      <c r="AN6" s="2">
        <v>10</v>
      </c>
      <c r="AO6" s="18">
        <v>21</v>
      </c>
      <c r="AP6" s="8">
        <v>11</v>
      </c>
      <c r="AQ6" s="1">
        <v>11</v>
      </c>
      <c r="AR6" s="1">
        <v>24</v>
      </c>
      <c r="AS6" s="2">
        <v>12</v>
      </c>
      <c r="AT6" s="1">
        <v>10</v>
      </c>
      <c r="AU6" s="9">
        <v>21</v>
      </c>
      <c r="AV6" s="8">
        <v>11</v>
      </c>
      <c r="AW6" s="1">
        <v>11</v>
      </c>
      <c r="AX6" s="1">
        <v>24</v>
      </c>
      <c r="AY6" s="2">
        <v>12</v>
      </c>
      <c r="AZ6" s="1">
        <v>10</v>
      </c>
      <c r="BA6" s="9">
        <v>21</v>
      </c>
      <c r="BB6" s="10">
        <v>9</v>
      </c>
      <c r="BC6" s="1">
        <v>10</v>
      </c>
      <c r="BD6" s="1">
        <v>24</v>
      </c>
      <c r="BE6" s="1">
        <v>10</v>
      </c>
      <c r="BF6" s="2">
        <v>11</v>
      </c>
      <c r="BG6" s="1">
        <v>22</v>
      </c>
      <c r="BH6" s="10">
        <v>9</v>
      </c>
      <c r="BI6" s="1">
        <v>10</v>
      </c>
      <c r="BJ6" s="1">
        <v>21</v>
      </c>
      <c r="BK6" s="2">
        <v>11</v>
      </c>
      <c r="BL6" s="1">
        <v>12</v>
      </c>
      <c r="BM6" s="9">
        <v>16</v>
      </c>
      <c r="BN6" s="10">
        <v>11</v>
      </c>
      <c r="BO6" s="1">
        <v>11</v>
      </c>
      <c r="BP6" s="1">
        <v>29</v>
      </c>
      <c r="BQ6" s="1">
        <v>12</v>
      </c>
      <c r="BR6" s="2">
        <v>9</v>
      </c>
      <c r="BS6" s="18">
        <v>24</v>
      </c>
      <c r="BT6" s="8">
        <v>11</v>
      </c>
      <c r="BU6" s="1">
        <v>13</v>
      </c>
      <c r="BV6" s="1"/>
      <c r="BW6" s="2">
        <v>9</v>
      </c>
      <c r="BX6" s="1">
        <v>12</v>
      </c>
      <c r="BY6" s="9"/>
      <c r="BZ6" s="10">
        <v>11</v>
      </c>
      <c r="CA6" s="1">
        <v>11</v>
      </c>
      <c r="CB6" s="1">
        <v>29</v>
      </c>
      <c r="CC6" s="1">
        <v>12</v>
      </c>
      <c r="CD6" s="2">
        <v>9</v>
      </c>
      <c r="CE6" s="18">
        <v>24</v>
      </c>
      <c r="CF6" s="10">
        <v>11</v>
      </c>
      <c r="CG6" s="1">
        <v>11</v>
      </c>
      <c r="CH6" s="1">
        <v>29</v>
      </c>
      <c r="CI6" s="1">
        <v>12</v>
      </c>
      <c r="CJ6" s="2">
        <v>9</v>
      </c>
      <c r="CK6" s="18">
        <v>24</v>
      </c>
      <c r="CL6" s="10">
        <v>11</v>
      </c>
      <c r="CM6" s="1">
        <v>11</v>
      </c>
      <c r="CN6" s="1">
        <v>29</v>
      </c>
      <c r="CO6" s="1">
        <v>12</v>
      </c>
      <c r="CP6" s="2">
        <v>9</v>
      </c>
      <c r="CQ6" s="18">
        <v>24</v>
      </c>
      <c r="CR6" s="10">
        <v>14</v>
      </c>
      <c r="CS6" s="1">
        <v>10</v>
      </c>
      <c r="CT6" s="1"/>
      <c r="CU6" s="1">
        <v>9</v>
      </c>
      <c r="CV6" s="2">
        <v>11</v>
      </c>
      <c r="CW6" s="18"/>
      <c r="CX6" s="8">
        <v>11</v>
      </c>
      <c r="CY6" s="1">
        <v>15</v>
      </c>
      <c r="CZ6" s="1"/>
      <c r="DA6" s="1">
        <v>11</v>
      </c>
      <c r="DB6" s="2">
        <v>9</v>
      </c>
      <c r="DC6" s="18"/>
      <c r="DD6" s="8">
        <v>22</v>
      </c>
      <c r="DE6" s="1">
        <v>20</v>
      </c>
      <c r="DF6" s="1">
        <v>45</v>
      </c>
      <c r="DG6" s="1">
        <v>21</v>
      </c>
      <c r="DH6" s="1">
        <v>21</v>
      </c>
      <c r="DI6" s="2">
        <v>40</v>
      </c>
      <c r="DJ6" s="60">
        <v>14</v>
      </c>
      <c r="DK6" s="1">
        <v>10</v>
      </c>
      <c r="DL6" s="1"/>
      <c r="DM6" s="1">
        <v>9</v>
      </c>
      <c r="DN6" s="1">
        <v>11</v>
      </c>
      <c r="DO6" s="61"/>
      <c r="DP6" s="10">
        <v>14</v>
      </c>
      <c r="DQ6" s="1">
        <v>10</v>
      </c>
      <c r="DR6" s="1"/>
      <c r="DS6" s="1">
        <v>9</v>
      </c>
      <c r="DT6" s="1">
        <v>11</v>
      </c>
      <c r="DU6" s="61"/>
      <c r="DV6" s="60">
        <v>14</v>
      </c>
      <c r="DW6" s="1">
        <v>10</v>
      </c>
      <c r="DX6" s="1"/>
      <c r="DY6" s="1">
        <v>9</v>
      </c>
      <c r="DZ6" s="1">
        <v>11</v>
      </c>
      <c r="EA6" s="61"/>
      <c r="EB6" s="10">
        <v>41</v>
      </c>
      <c r="EC6" s="1">
        <v>36</v>
      </c>
      <c r="ED6" s="1">
        <v>55</v>
      </c>
      <c r="EE6" s="1">
        <v>37</v>
      </c>
      <c r="EF6" s="1">
        <v>45</v>
      </c>
      <c r="EG6" s="61">
        <v>32</v>
      </c>
      <c r="EH6" s="10">
        <v>21</v>
      </c>
      <c r="EI6" s="1">
        <v>34</v>
      </c>
      <c r="EJ6" s="1">
        <v>52</v>
      </c>
      <c r="EK6" s="1">
        <v>36</v>
      </c>
      <c r="EL6" s="2">
        <v>30</v>
      </c>
      <c r="EM6" s="1">
        <v>56</v>
      </c>
      <c r="EN6" s="51">
        <f>SUM(L6,R6,X6,AD6,AJ6,AP6,AV6,BB6,BH6,BN6,BT6,BZ6,CF6,CL6,CR6,CX6,DD6,DJ6,DP6,DV6,EB6,EH6)/BULLETIN!$B$38*100</f>
        <v>46.610169491525419</v>
      </c>
      <c r="EO6" s="52" t="str">
        <f t="shared" si="0"/>
        <v>6e</v>
      </c>
      <c r="EP6" s="51">
        <f>SUM(M6,S6,Y6,AE6,AK6,AQ6,AW6,BC6,BI6,BO6,BU6,CA6,CG6,CS6,CY6,DE6,DK6,DQ6,EC6,EI6,CM6,DW6)/BULLETIN!$C$38*100</f>
        <v>49.322033898305087</v>
      </c>
      <c r="EQ6" s="52" t="str">
        <f t="shared" si="1"/>
        <v>6e</v>
      </c>
      <c r="ER6" s="51">
        <f>SUM(N6,T6,Z6,AF6,AL6,AR6,AX6,BD6,BJ6,BP6,BV6,CB6,CH6,CT6,CZ6,DF6,DL6,DR6,ED6,EJ6,CN6,DX6)/BULLETIN!$D$38*100</f>
        <v>36.186440677966104</v>
      </c>
      <c r="ES6" s="52" t="str">
        <f t="shared" si="2"/>
        <v>1e</v>
      </c>
      <c r="ET6" s="51">
        <f>SUM(L6:N6,R6:T6,X6:Z6,AD6:AF6,AJ6:AL6,AP6:AR6,AV6:AX6,BB6:BD6,BH6:BJ6,BN6:BP6,BT6:BV6,BZ6:CB6,CF6:CH6,CR6:CT6,CX6:CZ6,DD6:DF6,DJ6:DL6,DP6:DR6,EB6:ED6,EH6:EJ6,CL6:CN6,DV6:DX6)/BULLETIN!$E$38*100</f>
        <v>42.076271186440678</v>
      </c>
      <c r="EU6" s="52" t="str">
        <f t="shared" si="3"/>
        <v>2e</v>
      </c>
      <c r="EV6" s="51">
        <f>SUM(O6,U6,AA6,AG6,AM6,AS6,AY6,BE6,BK6,BQ6,BW6,CC6,CI6,CU6,DA6,DG6,DM6,DS6,EE6,EK6,CO6,DY6)/BULLETIN!$F$38*100</f>
        <v>47.118644067796609</v>
      </c>
      <c r="EW6" s="52" t="str">
        <f t="shared" si="4"/>
        <v>5e</v>
      </c>
      <c r="EX6" s="51">
        <f>SUM(P6,V6,AB6,AH6,AN6,AT6,AZ6,BF6,BL6,BR6,BX6,CD6,CJ6,CV6,DB6,DH6,DN6,DS6,EF6,EL6,CP6,DZ6)/BULLETIN!$G$38*100</f>
        <v>45.423728813559322</v>
      </c>
      <c r="EY6" s="52" t="str">
        <f t="shared" si="5"/>
        <v>8e</v>
      </c>
      <c r="EZ6" s="51">
        <f>SUM(Q6,W6,AC6,AI6,AO6,AU6,BA6,BG6,BM6,BS6,BY6,CE6,CK6,CW6,DC6,DI6,DO6,DU6,EG6,EM6,EA6,CQ6)/BULLETIN!$H$38*100</f>
        <v>30.847457627118647</v>
      </c>
      <c r="FA6" s="52" t="str">
        <f t="shared" si="6"/>
        <v>8e</v>
      </c>
      <c r="FB6" s="51">
        <f>SUM(O6:Q6,U6:W6,AA6:AC6,AG6:AI6,AM6:AO6,AS6:AU6,AY6:BA6,BE6:BG6,BK6:BM6,BQ6:BS6,BW6:BY6,CC6:CE6,CI6:CK6,CU6:CW6,DA6:DC6,DM6:DO6,DS6:DU6,EE6:EG6,EK6:EM6,DG6:DI6,CO6:CQ6,DY6:EA6)/BULLETIN!$I$38*100</f>
        <v>38.644067796610173</v>
      </c>
      <c r="FC6" s="52" t="str">
        <f t="shared" si="7"/>
        <v>7e</v>
      </c>
      <c r="FD6" s="51">
        <f>SUM(L6:EM6)/BULLETIN!$J$38*100</f>
        <v>40.360169491525419</v>
      </c>
      <c r="FE6" s="52" t="str">
        <f t="shared" si="8"/>
        <v>7e</v>
      </c>
    </row>
    <row r="7" spans="1:161" ht="15.5" x14ac:dyDescent="0.35">
      <c r="A7" s="13" t="s">
        <v>56</v>
      </c>
      <c r="B7" s="14" t="s">
        <v>50</v>
      </c>
      <c r="C7" s="14" t="s">
        <v>61</v>
      </c>
      <c r="D7" s="15">
        <v>39232</v>
      </c>
      <c r="E7" s="14" t="s">
        <v>131</v>
      </c>
      <c r="F7" s="14" t="s">
        <v>67</v>
      </c>
      <c r="G7" s="14" t="s">
        <v>75</v>
      </c>
      <c r="H7" s="14" t="s">
        <v>70</v>
      </c>
      <c r="I7" s="14" t="s">
        <v>80</v>
      </c>
      <c r="J7" s="14" t="s">
        <v>81</v>
      </c>
      <c r="K7" s="16">
        <v>710005</v>
      </c>
      <c r="L7" s="8">
        <v>7</v>
      </c>
      <c r="M7" s="1">
        <v>5</v>
      </c>
      <c r="N7" s="1">
        <v>9</v>
      </c>
      <c r="O7" s="1">
        <v>8</v>
      </c>
      <c r="P7" s="1">
        <v>5</v>
      </c>
      <c r="Q7" s="9">
        <v>12</v>
      </c>
      <c r="R7" s="10">
        <v>6</v>
      </c>
      <c r="S7" s="1">
        <v>5</v>
      </c>
      <c r="T7" s="1">
        <v>12</v>
      </c>
      <c r="U7" s="1">
        <v>9</v>
      </c>
      <c r="V7" s="2">
        <v>4</v>
      </c>
      <c r="W7" s="18">
        <v>10</v>
      </c>
      <c r="X7" s="8">
        <v>6</v>
      </c>
      <c r="Y7" s="1">
        <v>5</v>
      </c>
      <c r="Z7" s="1">
        <v>11</v>
      </c>
      <c r="AA7" s="1">
        <v>5</v>
      </c>
      <c r="AB7" s="1">
        <v>7</v>
      </c>
      <c r="AC7" s="9">
        <v>11</v>
      </c>
      <c r="AD7" s="8">
        <v>6</v>
      </c>
      <c r="AE7" s="1">
        <v>5</v>
      </c>
      <c r="AF7" s="1">
        <v>11</v>
      </c>
      <c r="AG7" s="1">
        <v>5</v>
      </c>
      <c r="AH7" s="1">
        <v>7</v>
      </c>
      <c r="AI7" s="9">
        <v>11</v>
      </c>
      <c r="AJ7" s="10">
        <v>11</v>
      </c>
      <c r="AK7" s="1">
        <v>15</v>
      </c>
      <c r="AL7" s="1">
        <v>19</v>
      </c>
      <c r="AM7" s="1">
        <v>9</v>
      </c>
      <c r="AN7" s="2">
        <v>11</v>
      </c>
      <c r="AO7" s="18">
        <v>23</v>
      </c>
      <c r="AP7" s="8">
        <v>10</v>
      </c>
      <c r="AQ7" s="1">
        <v>9</v>
      </c>
      <c r="AR7" s="1">
        <v>21</v>
      </c>
      <c r="AS7" s="2">
        <v>11</v>
      </c>
      <c r="AT7" s="1">
        <v>11</v>
      </c>
      <c r="AU7" s="9">
        <v>20</v>
      </c>
      <c r="AV7" s="8">
        <v>10</v>
      </c>
      <c r="AW7" s="1">
        <v>9</v>
      </c>
      <c r="AX7" s="1">
        <v>21</v>
      </c>
      <c r="AY7" s="2">
        <v>11</v>
      </c>
      <c r="AZ7" s="1">
        <v>11</v>
      </c>
      <c r="BA7" s="9">
        <v>20</v>
      </c>
      <c r="BB7" s="10">
        <v>12</v>
      </c>
      <c r="BC7" s="1">
        <v>11</v>
      </c>
      <c r="BD7" s="1">
        <v>21</v>
      </c>
      <c r="BE7" s="1">
        <v>11</v>
      </c>
      <c r="BF7" s="2">
        <v>10</v>
      </c>
      <c r="BG7" s="1">
        <v>20</v>
      </c>
      <c r="BH7" s="10">
        <v>12</v>
      </c>
      <c r="BI7" s="1">
        <v>12</v>
      </c>
      <c r="BJ7" s="1">
        <v>20</v>
      </c>
      <c r="BK7" s="2">
        <v>13</v>
      </c>
      <c r="BL7" s="1">
        <v>12</v>
      </c>
      <c r="BM7" s="9">
        <v>10</v>
      </c>
      <c r="BN7" s="10">
        <v>17</v>
      </c>
      <c r="BO7" s="1">
        <v>17</v>
      </c>
      <c r="BP7" s="1">
        <v>22</v>
      </c>
      <c r="BQ7" s="1">
        <v>11</v>
      </c>
      <c r="BR7" s="2">
        <v>19</v>
      </c>
      <c r="BS7" s="18">
        <v>24</v>
      </c>
      <c r="BT7" s="8">
        <v>11</v>
      </c>
      <c r="BU7" s="1">
        <v>15</v>
      </c>
      <c r="BV7" s="1"/>
      <c r="BW7" s="2">
        <v>11</v>
      </c>
      <c r="BX7" s="1">
        <v>10</v>
      </c>
      <c r="BY7" s="9"/>
      <c r="BZ7" s="10">
        <v>17</v>
      </c>
      <c r="CA7" s="1">
        <v>17</v>
      </c>
      <c r="CB7" s="1">
        <v>22</v>
      </c>
      <c r="CC7" s="1">
        <v>11</v>
      </c>
      <c r="CD7" s="2">
        <v>19</v>
      </c>
      <c r="CE7" s="18">
        <v>24</v>
      </c>
      <c r="CF7" s="10">
        <v>17</v>
      </c>
      <c r="CG7" s="1">
        <v>17</v>
      </c>
      <c r="CH7" s="1">
        <v>22</v>
      </c>
      <c r="CI7" s="1">
        <v>11</v>
      </c>
      <c r="CJ7" s="2">
        <v>19</v>
      </c>
      <c r="CK7" s="18">
        <v>24</v>
      </c>
      <c r="CL7" s="10">
        <v>17</v>
      </c>
      <c r="CM7" s="1">
        <v>17</v>
      </c>
      <c r="CN7" s="1">
        <v>22</v>
      </c>
      <c r="CO7" s="1">
        <v>11</v>
      </c>
      <c r="CP7" s="2">
        <v>19</v>
      </c>
      <c r="CQ7" s="18">
        <v>24</v>
      </c>
      <c r="CR7" s="10">
        <v>11</v>
      </c>
      <c r="CS7" s="1">
        <v>15</v>
      </c>
      <c r="CT7" s="1"/>
      <c r="CU7" s="1">
        <v>14</v>
      </c>
      <c r="CV7" s="2">
        <v>11</v>
      </c>
      <c r="CW7" s="18"/>
      <c r="CX7" s="8">
        <v>11</v>
      </c>
      <c r="CY7" s="1">
        <v>16</v>
      </c>
      <c r="CZ7" s="1"/>
      <c r="DA7" s="1">
        <v>12</v>
      </c>
      <c r="DB7" s="2">
        <v>11</v>
      </c>
      <c r="DC7" s="18"/>
      <c r="DD7" s="8">
        <v>24</v>
      </c>
      <c r="DE7" s="1">
        <v>21</v>
      </c>
      <c r="DF7" s="1">
        <v>43</v>
      </c>
      <c r="DG7" s="1">
        <v>21</v>
      </c>
      <c r="DH7" s="1">
        <v>32</v>
      </c>
      <c r="DI7" s="2">
        <v>45</v>
      </c>
      <c r="DJ7" s="60">
        <v>11</v>
      </c>
      <c r="DK7" s="1">
        <v>15</v>
      </c>
      <c r="DL7" s="1"/>
      <c r="DM7" s="1">
        <v>14</v>
      </c>
      <c r="DN7" s="1">
        <v>11</v>
      </c>
      <c r="DO7" s="61"/>
      <c r="DP7" s="10">
        <v>11</v>
      </c>
      <c r="DQ7" s="1">
        <v>15</v>
      </c>
      <c r="DR7" s="1"/>
      <c r="DS7" s="1">
        <v>14</v>
      </c>
      <c r="DT7" s="1">
        <v>11</v>
      </c>
      <c r="DU7" s="61"/>
      <c r="DV7" s="60">
        <v>11</v>
      </c>
      <c r="DW7" s="1">
        <v>15</v>
      </c>
      <c r="DX7" s="1"/>
      <c r="DY7" s="1">
        <v>14</v>
      </c>
      <c r="DZ7" s="1">
        <v>11</v>
      </c>
      <c r="EA7" s="61"/>
      <c r="EB7" s="10">
        <v>34</v>
      </c>
      <c r="EC7" s="1">
        <v>32</v>
      </c>
      <c r="ED7" s="1">
        <v>57</v>
      </c>
      <c r="EE7" s="1">
        <v>21</v>
      </c>
      <c r="EF7" s="1">
        <v>23</v>
      </c>
      <c r="EG7" s="61">
        <v>65</v>
      </c>
      <c r="EH7" s="10">
        <v>27</v>
      </c>
      <c r="EI7" s="1">
        <v>43</v>
      </c>
      <c r="EJ7" s="1">
        <v>55</v>
      </c>
      <c r="EK7" s="1">
        <v>39</v>
      </c>
      <c r="EL7" s="2">
        <v>32</v>
      </c>
      <c r="EM7" s="1">
        <v>54</v>
      </c>
      <c r="EN7" s="51">
        <f>SUM(L7,R7,X7,AD7,AJ7,AP7,AV7,BB7,BH7,BN7,BT7,BZ7,CF7,CL7,CR7,CX7,DD7,DJ7,DP7,DV7,EB7,EH7)/BULLETIN!$B$38*100</f>
        <v>50.677966101694913</v>
      </c>
      <c r="EO7" s="52" t="str">
        <f t="shared" si="0"/>
        <v>1e</v>
      </c>
      <c r="EP7" s="51">
        <f>SUM(M7,S7,Y7,AE7,AK7,AQ7,AW7,BC7,BI7,BO7,BU7,CA7,CG7,CS7,CY7,DE7,DK7,DQ7,EC7,EI7,CM7,DW7)/BULLETIN!$C$38*100</f>
        <v>56.101694915254242</v>
      </c>
      <c r="EQ7" s="52" t="str">
        <f t="shared" si="1"/>
        <v>1e</v>
      </c>
      <c r="ER7" s="51">
        <f>SUM(N7,T7,Z7,AF7,AL7,AR7,AX7,BD7,BJ7,BP7,BV7,CB7,CH7,CT7,CZ7,DF7,DL7,DR7,ED7,EJ7,CN7,DX7)/BULLETIN!$D$38*100</f>
        <v>32.881355932203391</v>
      </c>
      <c r="ES7" s="52" t="str">
        <f t="shared" si="2"/>
        <v>7e</v>
      </c>
      <c r="ET7" s="51">
        <f>SUM(L7:N7,R7:T7,X7:Z7,AD7:AF7,AJ7:AL7,AP7:AR7,AV7:AX7,BB7:BD7,BH7:BJ7,BN7:BP7,BT7:BV7,BZ7:CB7,CF7:CH7,CR7:CT7,CX7:CZ7,DD7:DF7,DJ7:DL7,DP7:DR7,EB7:ED7,EH7:EJ7,CL7:CN7,DV7:DX7)/BULLETIN!$E$38*100</f>
        <v>43.135593220338983</v>
      </c>
      <c r="EU7" s="52" t="str">
        <f t="shared" si="3"/>
        <v>1e</v>
      </c>
      <c r="EV7" s="51">
        <f>SUM(O7,U7,AA7,AG7,AM7,AS7,AY7,BE7,BK7,BQ7,BW7,CC7,CI7,CU7,DA7,DG7,DM7,DS7,EE7,EK7,CO7,DY7)/BULLETIN!$F$38*100</f>
        <v>48.474576271186443</v>
      </c>
      <c r="EW7" s="52" t="str">
        <f t="shared" si="4"/>
        <v>3e</v>
      </c>
      <c r="EX7" s="51">
        <f>SUM(P7,V7,AB7,AH7,AN7,AT7,AZ7,BF7,BL7,BR7,BX7,CD7,CJ7,CV7,DB7,DH7,DN7,DS7,EF7,EL7,CP7,DZ7)/BULLETIN!$G$38*100</f>
        <v>52.372881355932201</v>
      </c>
      <c r="EY7" s="52" t="str">
        <f t="shared" si="5"/>
        <v>1e</v>
      </c>
      <c r="EZ7" s="51">
        <f>SUM(Q7,W7,AC7,AI7,AO7,AU7,BA7,BG7,BM7,BS7,BY7,CE7,CK7,CW7,DC7,DI7,DO7,DU7,EG7,EM7,EA7,CQ7)/BULLETIN!$H$38*100</f>
        <v>33.644067796610173</v>
      </c>
      <c r="FA7" s="52" t="str">
        <f t="shared" si="6"/>
        <v>4e</v>
      </c>
      <c r="FB7" s="51">
        <f>SUM(O7:Q7,U7:W7,AA7:AC7,AG7:AI7,AM7:AO7,AS7:AU7,AY7:BA7,BE7:BG7,BK7:BM7,BQ7:BS7,BW7:BY7,CC7:CE7,CI7:CK7,CU7:CW7,DA7:DC7,DM7:DO7,DS7:DU7,EE7:EG7,EK7:EM7,DG7:DI7,CO7:CQ7,DY7:EA7)/BULLETIN!$I$38*100</f>
        <v>41.906779661016955</v>
      </c>
      <c r="FC7" s="52" t="str">
        <f t="shared" si="7"/>
        <v>2e</v>
      </c>
      <c r="FD7" s="51">
        <f>SUM(L7:EM7)/BULLETIN!$J$38*100</f>
        <v>42.521186440677965</v>
      </c>
      <c r="FE7" s="52" t="str">
        <f t="shared" si="8"/>
        <v>1e</v>
      </c>
    </row>
    <row r="8" spans="1:161" ht="15.5" x14ac:dyDescent="0.35">
      <c r="A8" s="13" t="s">
        <v>57</v>
      </c>
      <c r="B8" s="14" t="s">
        <v>51</v>
      </c>
      <c r="C8" s="14" t="s">
        <v>60</v>
      </c>
      <c r="D8" s="15">
        <v>39732</v>
      </c>
      <c r="E8" s="14" t="s">
        <v>131</v>
      </c>
      <c r="F8" s="14" t="s">
        <v>65</v>
      </c>
      <c r="G8" s="14" t="s">
        <v>72</v>
      </c>
      <c r="H8" s="14" t="s">
        <v>70</v>
      </c>
      <c r="I8" s="14" t="s">
        <v>76</v>
      </c>
      <c r="J8" s="14" t="s">
        <v>81</v>
      </c>
      <c r="K8" s="16">
        <v>710006</v>
      </c>
      <c r="L8" s="8">
        <v>6</v>
      </c>
      <c r="M8" s="1">
        <v>9</v>
      </c>
      <c r="N8" s="1">
        <v>14</v>
      </c>
      <c r="O8" s="1">
        <v>5</v>
      </c>
      <c r="P8" s="1">
        <v>7</v>
      </c>
      <c r="Q8" s="9">
        <v>11</v>
      </c>
      <c r="R8" s="10">
        <v>7</v>
      </c>
      <c r="S8" s="1">
        <v>7</v>
      </c>
      <c r="T8" s="1">
        <v>11</v>
      </c>
      <c r="U8" s="1">
        <v>5</v>
      </c>
      <c r="V8" s="2">
        <v>6</v>
      </c>
      <c r="W8" s="18">
        <v>11</v>
      </c>
      <c r="X8" s="8">
        <v>5</v>
      </c>
      <c r="Y8" s="1">
        <v>6</v>
      </c>
      <c r="Z8" s="1">
        <v>11</v>
      </c>
      <c r="AA8" s="1">
        <v>4</v>
      </c>
      <c r="AB8" s="1">
        <v>6</v>
      </c>
      <c r="AC8" s="9">
        <v>13</v>
      </c>
      <c r="AD8" s="8">
        <v>5</v>
      </c>
      <c r="AE8" s="1">
        <v>6</v>
      </c>
      <c r="AF8" s="1">
        <v>11</v>
      </c>
      <c r="AG8" s="1">
        <v>4</v>
      </c>
      <c r="AH8" s="1">
        <v>6</v>
      </c>
      <c r="AI8" s="9">
        <v>10</v>
      </c>
      <c r="AJ8" s="10">
        <v>11</v>
      </c>
      <c r="AK8" s="1">
        <v>14</v>
      </c>
      <c r="AL8" s="1">
        <v>21</v>
      </c>
      <c r="AM8" s="1">
        <v>11</v>
      </c>
      <c r="AN8" s="2">
        <v>19</v>
      </c>
      <c r="AO8" s="18">
        <v>21</v>
      </c>
      <c r="AP8" s="8">
        <v>11</v>
      </c>
      <c r="AQ8" s="1">
        <v>14</v>
      </c>
      <c r="AR8" s="1">
        <v>21</v>
      </c>
      <c r="AS8" s="2">
        <v>13</v>
      </c>
      <c r="AT8" s="1">
        <v>9</v>
      </c>
      <c r="AU8" s="9">
        <v>20</v>
      </c>
      <c r="AV8" s="8">
        <v>11</v>
      </c>
      <c r="AW8" s="1">
        <v>14</v>
      </c>
      <c r="AX8" s="1">
        <v>21</v>
      </c>
      <c r="AY8" s="2">
        <v>13</v>
      </c>
      <c r="AZ8" s="1">
        <v>9</v>
      </c>
      <c r="BA8" s="9">
        <v>20</v>
      </c>
      <c r="BB8" s="10">
        <v>17</v>
      </c>
      <c r="BC8" s="1">
        <v>11</v>
      </c>
      <c r="BD8" s="1">
        <v>21</v>
      </c>
      <c r="BE8" s="1">
        <v>11</v>
      </c>
      <c r="BF8" s="2">
        <v>16</v>
      </c>
      <c r="BG8" s="1">
        <v>21</v>
      </c>
      <c r="BH8" s="10">
        <v>10</v>
      </c>
      <c r="BI8" s="1">
        <v>11</v>
      </c>
      <c r="BJ8" s="1">
        <v>29</v>
      </c>
      <c r="BK8" s="2">
        <v>14</v>
      </c>
      <c r="BL8" s="1">
        <v>13</v>
      </c>
      <c r="BM8" s="9">
        <v>10</v>
      </c>
      <c r="BN8" s="10">
        <v>11</v>
      </c>
      <c r="BO8" s="1">
        <v>12</v>
      </c>
      <c r="BP8" s="1">
        <v>22</v>
      </c>
      <c r="BQ8" s="1">
        <v>16</v>
      </c>
      <c r="BR8" s="2">
        <v>9</v>
      </c>
      <c r="BS8" s="18">
        <v>25</v>
      </c>
      <c r="BT8" s="8">
        <v>10</v>
      </c>
      <c r="BU8" s="1">
        <v>11</v>
      </c>
      <c r="BV8" s="1"/>
      <c r="BW8" s="2">
        <v>11</v>
      </c>
      <c r="BX8" s="1">
        <v>12</v>
      </c>
      <c r="BY8" s="9"/>
      <c r="BZ8" s="10">
        <v>11</v>
      </c>
      <c r="CA8" s="1">
        <v>12</v>
      </c>
      <c r="CB8" s="1">
        <v>22</v>
      </c>
      <c r="CC8" s="1">
        <v>16</v>
      </c>
      <c r="CD8" s="2">
        <v>9</v>
      </c>
      <c r="CE8" s="18">
        <v>25</v>
      </c>
      <c r="CF8" s="10">
        <v>11</v>
      </c>
      <c r="CG8" s="1">
        <v>12</v>
      </c>
      <c r="CH8" s="1">
        <v>22</v>
      </c>
      <c r="CI8" s="1">
        <v>16</v>
      </c>
      <c r="CJ8" s="2">
        <v>9</v>
      </c>
      <c r="CK8" s="18">
        <v>25</v>
      </c>
      <c r="CL8" s="10">
        <v>11</v>
      </c>
      <c r="CM8" s="1">
        <v>12</v>
      </c>
      <c r="CN8" s="1">
        <v>22</v>
      </c>
      <c r="CO8" s="1">
        <v>16</v>
      </c>
      <c r="CP8" s="2">
        <v>9</v>
      </c>
      <c r="CQ8" s="18">
        <v>25</v>
      </c>
      <c r="CR8" s="10">
        <v>11</v>
      </c>
      <c r="CS8" s="1">
        <v>16</v>
      </c>
      <c r="CT8" s="1"/>
      <c r="CU8" s="1">
        <v>11</v>
      </c>
      <c r="CV8" s="2">
        <v>15</v>
      </c>
      <c r="CW8" s="18"/>
      <c r="CX8" s="8">
        <v>11</v>
      </c>
      <c r="CY8" s="1">
        <v>11</v>
      </c>
      <c r="CZ8" s="1"/>
      <c r="DA8" s="1">
        <v>12</v>
      </c>
      <c r="DB8" s="2">
        <v>14</v>
      </c>
      <c r="DC8" s="18"/>
      <c r="DD8" s="8">
        <v>21</v>
      </c>
      <c r="DE8" s="1">
        <v>20</v>
      </c>
      <c r="DF8" s="1">
        <v>41</v>
      </c>
      <c r="DG8" s="1">
        <v>13</v>
      </c>
      <c r="DH8" s="1">
        <v>24</v>
      </c>
      <c r="DI8" s="2">
        <v>47</v>
      </c>
      <c r="DJ8" s="60">
        <v>11</v>
      </c>
      <c r="DK8" s="1">
        <v>16</v>
      </c>
      <c r="DL8" s="1"/>
      <c r="DM8" s="1">
        <v>11</v>
      </c>
      <c r="DN8" s="1">
        <v>15</v>
      </c>
      <c r="DO8" s="61"/>
      <c r="DP8" s="10">
        <v>11</v>
      </c>
      <c r="DQ8" s="1">
        <v>16</v>
      </c>
      <c r="DR8" s="1"/>
      <c r="DS8" s="1">
        <v>11</v>
      </c>
      <c r="DT8" s="1">
        <v>15</v>
      </c>
      <c r="DU8" s="61"/>
      <c r="DV8" s="60">
        <v>11</v>
      </c>
      <c r="DW8" s="1">
        <v>16</v>
      </c>
      <c r="DX8" s="1"/>
      <c r="DY8" s="1">
        <v>11</v>
      </c>
      <c r="DZ8" s="1">
        <v>15</v>
      </c>
      <c r="EA8" s="61"/>
      <c r="EB8" s="10">
        <v>25</v>
      </c>
      <c r="EC8" s="1">
        <v>27</v>
      </c>
      <c r="ED8" s="1">
        <v>50</v>
      </c>
      <c r="EE8" s="1">
        <v>20</v>
      </c>
      <c r="EF8" s="1">
        <v>25</v>
      </c>
      <c r="EG8" s="61">
        <v>45</v>
      </c>
      <c r="EH8" s="10">
        <v>25</v>
      </c>
      <c r="EI8" s="1">
        <v>32</v>
      </c>
      <c r="EJ8" s="1">
        <v>50</v>
      </c>
      <c r="EK8" s="1">
        <v>32</v>
      </c>
      <c r="EL8" s="2">
        <v>29</v>
      </c>
      <c r="EM8" s="1">
        <v>57</v>
      </c>
      <c r="EN8" s="51">
        <f>SUM(L8,R8,X8,AD8,AJ8,AP8,AV8,BB8,BH8,BN8,BT8,BZ8,CF8,CL8,CR8,CX8,DD8,DJ8,DP8,DV8,EB8,EH8)/BULLETIN!$B$38*100</f>
        <v>44.576271186440678</v>
      </c>
      <c r="EO8" s="52" t="str">
        <f t="shared" si="0"/>
        <v>7e</v>
      </c>
      <c r="EP8" s="51">
        <f>SUM(M8,S8,Y8,AE8,AK8,AQ8,AW8,BC8,BI8,BO8,BU8,CA8,CG8,CS8,CY8,DE8,DK8,DQ8,EC8,EI8,CM8,DW8)/BULLETIN!$C$38*100</f>
        <v>51.694915254237287</v>
      </c>
      <c r="EQ8" s="52" t="str">
        <f t="shared" si="1"/>
        <v>4e</v>
      </c>
      <c r="ER8" s="51">
        <f>SUM(N8,T8,Z8,AF8,AL8,AR8,AX8,BD8,BJ8,BP8,BV8,CB8,CH8,CT8,CZ8,DF8,DL8,DR8,ED8,EJ8,CN8,DX8)/BULLETIN!$D$38*100</f>
        <v>32.96610169491526</v>
      </c>
      <c r="ES8" s="52" t="str">
        <f t="shared" si="2"/>
        <v>6e</v>
      </c>
      <c r="ET8" s="51">
        <f>SUM(L8:N8,R8:T8,X8:Z8,AD8:AF8,AJ8:AL8,AP8:AR8,AV8:AX8,BB8:BD8,BH8:BJ8,BN8:BP8,BT8:BV8,BZ8:CB8,CF8:CH8,CR8:CT8,CX8:CZ8,DD8:DF8,DJ8:DL8,DP8:DR8,EB8:ED8,EH8:EJ8,CL8:CN8,DV8:DX8)/BULLETIN!$E$38*100</f>
        <v>40.550847457627121</v>
      </c>
      <c r="EU8" s="52" t="str">
        <f t="shared" si="3"/>
        <v>6e</v>
      </c>
      <c r="EV8" s="51">
        <f>SUM(O8,U8,AA8,AG8,AM8,AS8,AY8,BE8,BK8,BQ8,BW8,CC8,CI8,CU8,DA8,DG8,DM8,DS8,EE8,EK8,CO8,DY8)/BULLETIN!$F$38*100</f>
        <v>46.779661016949156</v>
      </c>
      <c r="EW8" s="52" t="str">
        <f t="shared" si="4"/>
        <v>6e</v>
      </c>
      <c r="EX8" s="51">
        <f>SUM(P8,V8,AB8,AH8,AN8,AT8,AZ8,BF8,BL8,BR8,BX8,CD8,CJ8,CV8,DB8,DH8,DN8,DS8,EF8,EL8,CP8,DZ8)/BULLETIN!$G$38*100</f>
        <v>48.644067796610166</v>
      </c>
      <c r="EY8" s="52" t="str">
        <f t="shared" si="5"/>
        <v>3e</v>
      </c>
      <c r="EZ8" s="51">
        <f>SUM(Q8,W8,AC8,AI8,AO8,AU8,BA8,BG8,BM8,BS8,BY8,CE8,CK8,CW8,DC8,DI8,DO8,DU8,EG8,EM8,EA8,CQ8)/BULLETIN!$H$38*100</f>
        <v>32.711864406779661</v>
      </c>
      <c r="FA8" s="52" t="str">
        <f t="shared" si="6"/>
        <v>5e</v>
      </c>
      <c r="FB8" s="51">
        <f>SUM(O8:Q8,U8:W8,AA8:AC8,AG8:AI8,AM8:AO8,AS8:AU8,AY8:BA8,BE8:BG8,BK8:BM8,BQ8:BS8,BW8:BY8,CC8:CE8,CI8:CK8,CU8:CW8,DA8:DC8,DM8:DO8,DS8:DU8,EE8:EG8,EK8:EM8,DG8:DI8,CO8:CQ8,DY8:EA8)/BULLETIN!$I$38*100</f>
        <v>40.381355932203391</v>
      </c>
      <c r="FC8" s="52" t="str">
        <f t="shared" si="7"/>
        <v>4e</v>
      </c>
      <c r="FD8" s="51">
        <f>SUM(L8:EM8)/BULLETIN!$J$38*100</f>
        <v>40.466101694915253</v>
      </c>
      <c r="FE8" s="52" t="str">
        <f t="shared" si="8"/>
        <v>6e</v>
      </c>
    </row>
    <row r="9" spans="1:161" ht="15.5" x14ac:dyDescent="0.35">
      <c r="A9" s="13" t="s">
        <v>58</v>
      </c>
      <c r="B9" s="14" t="s">
        <v>52</v>
      </c>
      <c r="C9" s="14" t="s">
        <v>61</v>
      </c>
      <c r="D9" s="15">
        <v>40007</v>
      </c>
      <c r="E9" s="14" t="s">
        <v>131</v>
      </c>
      <c r="F9" s="14" t="s">
        <v>68</v>
      </c>
      <c r="G9" s="14" t="s">
        <v>72</v>
      </c>
      <c r="H9" s="14" t="s">
        <v>70</v>
      </c>
      <c r="I9" s="14" t="s">
        <v>70</v>
      </c>
      <c r="J9" s="14" t="s">
        <v>81</v>
      </c>
      <c r="K9" s="16">
        <v>710007</v>
      </c>
      <c r="L9" s="8">
        <v>5</v>
      </c>
      <c r="M9" s="1">
        <v>7</v>
      </c>
      <c r="N9" s="1">
        <v>11</v>
      </c>
      <c r="O9" s="1">
        <v>6</v>
      </c>
      <c r="P9" s="1">
        <v>8</v>
      </c>
      <c r="Q9" s="9">
        <v>11</v>
      </c>
      <c r="R9" s="10">
        <v>8</v>
      </c>
      <c r="S9" s="1">
        <v>6</v>
      </c>
      <c r="T9" s="1">
        <v>10</v>
      </c>
      <c r="U9" s="1">
        <v>5</v>
      </c>
      <c r="V9" s="2">
        <v>9</v>
      </c>
      <c r="W9" s="18">
        <v>12</v>
      </c>
      <c r="X9" s="8">
        <v>4</v>
      </c>
      <c r="Y9" s="1">
        <v>7</v>
      </c>
      <c r="Z9" s="1">
        <v>10</v>
      </c>
      <c r="AA9" s="1">
        <v>4</v>
      </c>
      <c r="AB9" s="1">
        <v>6</v>
      </c>
      <c r="AC9" s="9">
        <v>11</v>
      </c>
      <c r="AD9" s="8">
        <v>4</v>
      </c>
      <c r="AE9" s="1">
        <v>7</v>
      </c>
      <c r="AF9" s="1">
        <v>10</v>
      </c>
      <c r="AG9" s="1">
        <v>4</v>
      </c>
      <c r="AH9" s="1">
        <v>6</v>
      </c>
      <c r="AI9" s="9">
        <v>9</v>
      </c>
      <c r="AJ9" s="10">
        <v>9</v>
      </c>
      <c r="AK9" s="1">
        <v>9</v>
      </c>
      <c r="AL9" s="1">
        <v>23</v>
      </c>
      <c r="AM9" s="1">
        <v>11</v>
      </c>
      <c r="AN9" s="2">
        <v>17</v>
      </c>
      <c r="AO9" s="18">
        <v>20</v>
      </c>
      <c r="AP9" s="8">
        <v>11</v>
      </c>
      <c r="AQ9" s="1">
        <v>15</v>
      </c>
      <c r="AR9" s="1">
        <v>20</v>
      </c>
      <c r="AS9" s="2">
        <v>16</v>
      </c>
      <c r="AT9" s="1">
        <v>11</v>
      </c>
      <c r="AU9" s="9">
        <v>22</v>
      </c>
      <c r="AV9" s="8">
        <v>11</v>
      </c>
      <c r="AW9" s="1">
        <v>15</v>
      </c>
      <c r="AX9" s="1">
        <v>20</v>
      </c>
      <c r="AY9" s="2">
        <v>16</v>
      </c>
      <c r="AZ9" s="1">
        <v>11</v>
      </c>
      <c r="BA9" s="9">
        <v>22</v>
      </c>
      <c r="BB9" s="10">
        <v>11</v>
      </c>
      <c r="BC9" s="1">
        <v>12</v>
      </c>
      <c r="BD9" s="1">
        <v>20</v>
      </c>
      <c r="BE9" s="1">
        <v>9</v>
      </c>
      <c r="BF9" s="2">
        <v>14</v>
      </c>
      <c r="BG9" s="1">
        <v>21</v>
      </c>
      <c r="BH9" s="10">
        <v>10</v>
      </c>
      <c r="BI9" s="1">
        <v>11</v>
      </c>
      <c r="BJ9" s="1">
        <v>28</v>
      </c>
      <c r="BK9" s="2">
        <v>11</v>
      </c>
      <c r="BL9" s="1">
        <v>12</v>
      </c>
      <c r="BM9" s="9">
        <v>10</v>
      </c>
      <c r="BN9" s="10">
        <v>16</v>
      </c>
      <c r="BO9" s="1">
        <v>14</v>
      </c>
      <c r="BP9" s="1">
        <v>22</v>
      </c>
      <c r="BQ9" s="1">
        <v>15</v>
      </c>
      <c r="BR9" s="2">
        <v>11</v>
      </c>
      <c r="BS9" s="18">
        <v>29</v>
      </c>
      <c r="BT9" s="8">
        <v>17</v>
      </c>
      <c r="BU9" s="1">
        <v>9</v>
      </c>
      <c r="BV9" s="1"/>
      <c r="BW9" s="2">
        <v>11</v>
      </c>
      <c r="BX9" s="1">
        <v>9</v>
      </c>
      <c r="BY9" s="9"/>
      <c r="BZ9" s="10">
        <v>16</v>
      </c>
      <c r="CA9" s="1">
        <v>14</v>
      </c>
      <c r="CB9" s="1">
        <v>22</v>
      </c>
      <c r="CC9" s="1">
        <v>15</v>
      </c>
      <c r="CD9" s="2">
        <v>11</v>
      </c>
      <c r="CE9" s="18">
        <v>29</v>
      </c>
      <c r="CF9" s="10">
        <v>16</v>
      </c>
      <c r="CG9" s="1">
        <v>14</v>
      </c>
      <c r="CH9" s="1">
        <v>22</v>
      </c>
      <c r="CI9" s="1">
        <v>15</v>
      </c>
      <c r="CJ9" s="2">
        <v>11</v>
      </c>
      <c r="CK9" s="18">
        <v>29</v>
      </c>
      <c r="CL9" s="10">
        <v>16</v>
      </c>
      <c r="CM9" s="1">
        <v>14</v>
      </c>
      <c r="CN9" s="1">
        <v>22</v>
      </c>
      <c r="CO9" s="1">
        <v>15</v>
      </c>
      <c r="CP9" s="2">
        <v>11</v>
      </c>
      <c r="CQ9" s="18">
        <v>29</v>
      </c>
      <c r="CR9" s="10">
        <v>11</v>
      </c>
      <c r="CS9" s="1">
        <v>13</v>
      </c>
      <c r="CT9" s="1"/>
      <c r="CU9" s="1">
        <v>12</v>
      </c>
      <c r="CV9" s="2">
        <v>14</v>
      </c>
      <c r="CW9" s="18"/>
      <c r="CX9" s="8">
        <v>11</v>
      </c>
      <c r="CY9" s="1">
        <v>12</v>
      </c>
      <c r="CZ9" s="1"/>
      <c r="DA9" s="1">
        <v>13</v>
      </c>
      <c r="DB9" s="2">
        <v>10</v>
      </c>
      <c r="DC9" s="18"/>
      <c r="DD9" s="8">
        <v>24</v>
      </c>
      <c r="DE9" s="1">
        <v>23</v>
      </c>
      <c r="DF9" s="1">
        <v>47</v>
      </c>
      <c r="DG9" s="1">
        <v>21</v>
      </c>
      <c r="DH9" s="1">
        <v>24</v>
      </c>
      <c r="DI9" s="2">
        <v>49</v>
      </c>
      <c r="DJ9" s="60">
        <v>11</v>
      </c>
      <c r="DK9" s="1">
        <v>13</v>
      </c>
      <c r="DL9" s="1"/>
      <c r="DM9" s="1">
        <v>12</v>
      </c>
      <c r="DN9" s="1">
        <v>14</v>
      </c>
      <c r="DO9" s="61"/>
      <c r="DP9" s="10">
        <v>11</v>
      </c>
      <c r="DQ9" s="1">
        <v>13</v>
      </c>
      <c r="DR9" s="1"/>
      <c r="DS9" s="1">
        <v>12</v>
      </c>
      <c r="DT9" s="1">
        <v>14</v>
      </c>
      <c r="DU9" s="61"/>
      <c r="DV9" s="60">
        <v>11</v>
      </c>
      <c r="DW9" s="1">
        <v>13</v>
      </c>
      <c r="DX9" s="1"/>
      <c r="DY9" s="1">
        <v>12</v>
      </c>
      <c r="DZ9" s="1">
        <v>14</v>
      </c>
      <c r="EA9" s="61"/>
      <c r="EB9" s="10">
        <v>22</v>
      </c>
      <c r="EC9" s="1">
        <v>41</v>
      </c>
      <c r="ED9" s="1">
        <v>53</v>
      </c>
      <c r="EE9" s="1">
        <v>30</v>
      </c>
      <c r="EF9" s="1">
        <v>31</v>
      </c>
      <c r="EG9" s="61">
        <v>55</v>
      </c>
      <c r="EH9" s="10">
        <v>23</v>
      </c>
      <c r="EI9" s="1">
        <v>34</v>
      </c>
      <c r="EJ9" s="1">
        <v>53</v>
      </c>
      <c r="EK9" s="1">
        <v>23</v>
      </c>
      <c r="EL9" s="2">
        <v>28</v>
      </c>
      <c r="EM9" s="1">
        <v>51</v>
      </c>
      <c r="EN9" s="51">
        <f>SUM(L9,R9,X9,AD9,AJ9,AP9,AV9,BB9,BH9,BN9,BT9,BZ9,CF9,CL9,CR9,CX9,DD9,DJ9,DP9,DV9,EB9,EH9)/BULLETIN!$B$38*100</f>
        <v>47.118644067796609</v>
      </c>
      <c r="EO9" s="52" t="str">
        <f t="shared" si="0"/>
        <v>5e</v>
      </c>
      <c r="EP9" s="51">
        <f>SUM(M9,S9,Y9,AE9,AK9,AQ9,AW9,BC9,BI9,BO9,BU9,CA9,CG9,CS9,CY9,DE9,DK9,DQ9,EC9,EI9,CM9,DW9)/BULLETIN!$C$38*100</f>
        <v>53.559322033898304</v>
      </c>
      <c r="EQ9" s="52" t="str">
        <f t="shared" si="1"/>
        <v>3e</v>
      </c>
      <c r="ER9" s="51">
        <f>SUM(N9,T9,Z9,AF9,AL9,AR9,AX9,BD9,BJ9,BP9,BV9,CB9,CH9,CT9,CZ9,DF9,DL9,DR9,ED9,EJ9,CN9,DX9)/BULLETIN!$D$38*100</f>
        <v>33.305084745762713</v>
      </c>
      <c r="ES9" s="52" t="str">
        <f t="shared" si="2"/>
        <v>5e</v>
      </c>
      <c r="ET9" s="51">
        <f>SUM(L9:N9,R9:T9,X9:Z9,AD9:AF9,AJ9:AL9,AP9:AR9,AV9:AX9,BB9:BD9,BH9:BJ9,BN9:BP9,BT9:BV9,BZ9:CB9,CF9:CH9,CR9:CT9,CX9:CZ9,DD9:DF9,DJ9:DL9,DP9:DR9,EB9:ED9,EH9:EJ9,CL9:CN9,DV9:DX9)/BULLETIN!$E$38*100</f>
        <v>41.822033898305087</v>
      </c>
      <c r="EU9" s="52" t="str">
        <f t="shared" si="3"/>
        <v>4e</v>
      </c>
      <c r="EV9" s="51">
        <f>SUM(O9,U9,AA9,AG9,AM9,AS9,AY9,BE9,BK9,BQ9,BW9,CC9,CI9,CU9,DA9,DG9,DM9,DS9,EE9,EK9,CO9,DY9)/BULLETIN!$F$38*100</f>
        <v>48.813559322033903</v>
      </c>
      <c r="EW9" s="52" t="str">
        <f t="shared" si="4"/>
        <v>2e</v>
      </c>
      <c r="EX9" s="51">
        <f>SUM(P9,V9,AB9,AH9,AN9,AT9,AZ9,BF9,BL9,BR9,BX9,CD9,CJ9,CV9,DB9,DH9,DN9,DS9,EF9,EL9,CP9,DZ9)/BULLETIN!$G$38*100</f>
        <v>49.830508474576277</v>
      </c>
      <c r="EY9" s="52" t="str">
        <f t="shared" si="5"/>
        <v>2e</v>
      </c>
      <c r="EZ9" s="51">
        <f>SUM(Q9,W9,AC9,AI9,AO9,AU9,BA9,BG9,BM9,BS9,BY9,CE9,CK9,CW9,DC9,DI9,DO9,DU9,EG9,EM9,EA9,CQ9)/BULLETIN!$H$38*100</f>
        <v>34.66101694915254</v>
      </c>
      <c r="FA9" s="52" t="str">
        <f t="shared" si="6"/>
        <v>2e</v>
      </c>
      <c r="FB9" s="51">
        <f>SUM(O9:Q9,U9:W9,AA9:AC9,AG9:AI9,AM9:AO9,AS9:AU9,AY9:BA9,BE9:BG9,BK9:BM9,BQ9:BS9,BW9:BY9,CC9:CE9,CI9:CK9,CU9:CW9,DA9:DC9,DM9:DO9,DS9:DU9,EE9:EG9,EK9:EM9,DG9:DI9,CO9:CQ9,DY9:EA9)/BULLETIN!$I$38*100</f>
        <v>42.076271186440678</v>
      </c>
      <c r="FC9" s="52" t="str">
        <f t="shared" si="7"/>
        <v>1e</v>
      </c>
      <c r="FD9" s="51">
        <f>SUM(L9:EM9)/BULLETIN!$J$38*100</f>
        <v>41.949152542372879</v>
      </c>
      <c r="FE9" s="52" t="str">
        <f t="shared" si="8"/>
        <v>2e</v>
      </c>
    </row>
    <row r="10" spans="1:161" ht="15.5" x14ac:dyDescent="0.35">
      <c r="A10" s="13" t="s">
        <v>59</v>
      </c>
      <c r="B10" s="14" t="s">
        <v>53</v>
      </c>
      <c r="C10" s="14" t="s">
        <v>61</v>
      </c>
      <c r="D10" s="15">
        <v>40371</v>
      </c>
      <c r="E10" s="14" t="s">
        <v>131</v>
      </c>
      <c r="F10" s="14" t="s">
        <v>69</v>
      </c>
      <c r="G10" s="14" t="s">
        <v>73</v>
      </c>
      <c r="H10" s="14" t="s">
        <v>70</v>
      </c>
      <c r="I10" s="14" t="s">
        <v>77</v>
      </c>
      <c r="J10" s="14" t="s">
        <v>81</v>
      </c>
      <c r="K10" s="16">
        <v>710008</v>
      </c>
      <c r="L10" s="8">
        <v>4</v>
      </c>
      <c r="M10" s="1">
        <v>8</v>
      </c>
      <c r="N10" s="1">
        <v>14</v>
      </c>
      <c r="O10" s="1">
        <v>6</v>
      </c>
      <c r="P10" s="1">
        <v>9</v>
      </c>
      <c r="Q10" s="9">
        <v>9</v>
      </c>
      <c r="R10" s="10">
        <v>8</v>
      </c>
      <c r="S10" s="1">
        <v>8</v>
      </c>
      <c r="T10" s="1">
        <v>10</v>
      </c>
      <c r="U10" s="1">
        <v>4</v>
      </c>
      <c r="V10" s="2">
        <v>5</v>
      </c>
      <c r="W10" s="18">
        <v>11</v>
      </c>
      <c r="X10" s="8">
        <v>10</v>
      </c>
      <c r="Y10" s="1">
        <v>5</v>
      </c>
      <c r="Z10" s="1">
        <v>12</v>
      </c>
      <c r="AA10" s="1">
        <v>7</v>
      </c>
      <c r="AB10" s="1">
        <v>5</v>
      </c>
      <c r="AC10" s="9">
        <v>11</v>
      </c>
      <c r="AD10" s="8">
        <v>10</v>
      </c>
      <c r="AE10" s="1">
        <v>5</v>
      </c>
      <c r="AF10" s="1">
        <v>12</v>
      </c>
      <c r="AG10" s="1">
        <v>7</v>
      </c>
      <c r="AH10" s="1">
        <v>5</v>
      </c>
      <c r="AI10" s="9">
        <v>9</v>
      </c>
      <c r="AJ10" s="10">
        <v>11</v>
      </c>
      <c r="AK10" s="1">
        <v>10</v>
      </c>
      <c r="AL10" s="1">
        <v>20</v>
      </c>
      <c r="AM10" s="1">
        <v>10</v>
      </c>
      <c r="AN10" s="2">
        <v>9</v>
      </c>
      <c r="AO10" s="18">
        <v>22</v>
      </c>
      <c r="AP10" s="8">
        <v>9</v>
      </c>
      <c r="AQ10" s="1">
        <v>10</v>
      </c>
      <c r="AR10" s="1">
        <v>20</v>
      </c>
      <c r="AS10" s="2">
        <v>12</v>
      </c>
      <c r="AT10" s="1">
        <v>11</v>
      </c>
      <c r="AU10" s="9">
        <v>22</v>
      </c>
      <c r="AV10" s="8">
        <v>9</v>
      </c>
      <c r="AW10" s="1">
        <v>10</v>
      </c>
      <c r="AX10" s="1">
        <v>20</v>
      </c>
      <c r="AY10" s="2">
        <v>12</v>
      </c>
      <c r="AZ10" s="1">
        <v>11</v>
      </c>
      <c r="BA10" s="9">
        <v>22</v>
      </c>
      <c r="BB10" s="10">
        <v>10</v>
      </c>
      <c r="BC10" s="1">
        <v>11</v>
      </c>
      <c r="BD10" s="1">
        <v>22</v>
      </c>
      <c r="BE10" s="1">
        <v>11</v>
      </c>
      <c r="BF10" s="2">
        <v>9</v>
      </c>
      <c r="BG10" s="1">
        <v>22</v>
      </c>
      <c r="BH10" s="10">
        <v>11</v>
      </c>
      <c r="BI10" s="1">
        <v>16</v>
      </c>
      <c r="BJ10" s="1">
        <v>26</v>
      </c>
      <c r="BK10" s="2">
        <v>15</v>
      </c>
      <c r="BL10" s="1">
        <v>14</v>
      </c>
      <c r="BM10" s="9">
        <v>9</v>
      </c>
      <c r="BN10" s="10">
        <v>11</v>
      </c>
      <c r="BO10" s="1">
        <v>14</v>
      </c>
      <c r="BP10" s="1">
        <v>23</v>
      </c>
      <c r="BQ10" s="1">
        <v>15</v>
      </c>
      <c r="BR10" s="2">
        <v>11</v>
      </c>
      <c r="BS10" s="18">
        <v>22</v>
      </c>
      <c r="BT10" s="8">
        <v>13</v>
      </c>
      <c r="BU10" s="1">
        <v>12</v>
      </c>
      <c r="BV10" s="1"/>
      <c r="BW10" s="2">
        <v>9</v>
      </c>
      <c r="BX10" s="1">
        <v>10</v>
      </c>
      <c r="BY10" s="9"/>
      <c r="BZ10" s="10">
        <v>11</v>
      </c>
      <c r="CA10" s="1">
        <v>14</v>
      </c>
      <c r="CB10" s="1">
        <v>23</v>
      </c>
      <c r="CC10" s="1">
        <v>15</v>
      </c>
      <c r="CD10" s="2">
        <v>11</v>
      </c>
      <c r="CE10" s="18">
        <v>22</v>
      </c>
      <c r="CF10" s="10">
        <v>11</v>
      </c>
      <c r="CG10" s="1">
        <v>14</v>
      </c>
      <c r="CH10" s="1">
        <v>23</v>
      </c>
      <c r="CI10" s="1">
        <v>15</v>
      </c>
      <c r="CJ10" s="2">
        <v>11</v>
      </c>
      <c r="CK10" s="18">
        <v>22</v>
      </c>
      <c r="CL10" s="10">
        <v>11</v>
      </c>
      <c r="CM10" s="1">
        <v>14</v>
      </c>
      <c r="CN10" s="1">
        <v>23</v>
      </c>
      <c r="CO10" s="1">
        <v>15</v>
      </c>
      <c r="CP10" s="2">
        <v>11</v>
      </c>
      <c r="CQ10" s="18">
        <v>22</v>
      </c>
      <c r="CR10" s="10">
        <v>10</v>
      </c>
      <c r="CS10" s="1">
        <v>10</v>
      </c>
      <c r="CT10" s="1"/>
      <c r="CU10" s="1">
        <v>10</v>
      </c>
      <c r="CV10" s="2">
        <v>13</v>
      </c>
      <c r="CW10" s="18"/>
      <c r="CX10" s="8">
        <v>17</v>
      </c>
      <c r="CY10" s="1">
        <v>9</v>
      </c>
      <c r="CZ10" s="1"/>
      <c r="DA10" s="1">
        <v>11</v>
      </c>
      <c r="DB10" s="2">
        <v>11</v>
      </c>
      <c r="DC10" s="18"/>
      <c r="DD10" s="8">
        <v>25</v>
      </c>
      <c r="DE10" s="1">
        <v>22</v>
      </c>
      <c r="DF10" s="1">
        <v>43</v>
      </c>
      <c r="DG10" s="1">
        <v>20</v>
      </c>
      <c r="DH10" s="1">
        <v>20</v>
      </c>
      <c r="DI10" s="2">
        <v>49</v>
      </c>
      <c r="DJ10" s="60">
        <v>10</v>
      </c>
      <c r="DK10" s="1">
        <v>10</v>
      </c>
      <c r="DL10" s="1"/>
      <c r="DM10" s="1">
        <v>10</v>
      </c>
      <c r="DN10" s="1">
        <v>13</v>
      </c>
      <c r="DO10" s="61"/>
      <c r="DP10" s="10">
        <v>10</v>
      </c>
      <c r="DQ10" s="1">
        <v>10</v>
      </c>
      <c r="DR10" s="1"/>
      <c r="DS10" s="1">
        <v>10</v>
      </c>
      <c r="DT10" s="1">
        <v>13</v>
      </c>
      <c r="DU10" s="61"/>
      <c r="DV10" s="60">
        <v>10</v>
      </c>
      <c r="DW10" s="1">
        <v>10</v>
      </c>
      <c r="DX10" s="1"/>
      <c r="DY10" s="1">
        <v>10</v>
      </c>
      <c r="DZ10" s="1">
        <v>13</v>
      </c>
      <c r="EA10" s="61"/>
      <c r="EB10" s="10">
        <v>41</v>
      </c>
      <c r="EC10" s="1">
        <v>40</v>
      </c>
      <c r="ED10" s="1">
        <v>51</v>
      </c>
      <c r="EE10" s="1">
        <v>45</v>
      </c>
      <c r="EF10" s="1">
        <v>35</v>
      </c>
      <c r="EG10" s="61">
        <v>58</v>
      </c>
      <c r="EH10" s="10">
        <v>28</v>
      </c>
      <c r="EI10" s="1">
        <v>30</v>
      </c>
      <c r="EJ10" s="1">
        <v>55</v>
      </c>
      <c r="EK10" s="1">
        <v>17</v>
      </c>
      <c r="EL10" s="2">
        <v>31</v>
      </c>
      <c r="EM10" s="1">
        <v>54</v>
      </c>
      <c r="EN10" s="51">
        <f>SUM(L10,R10,X10,AD10,AJ10,AP10,AV10,BB10,BH10,BN10,BT10,BZ10,CF10,CL10,CR10,CX10,DD10,DJ10,DP10,DV10,EB10,EH10)/BULLETIN!$B$38*100</f>
        <v>49.152542372881356</v>
      </c>
      <c r="EO10" s="52" t="str">
        <f t="shared" si="0"/>
        <v>2e</v>
      </c>
      <c r="EP10" s="51">
        <f>SUM(M10,S10,Y10,AE10,AK10,AQ10,AW10,BC10,BI10,BO10,BU10,CA10,CG10,CS10,CY10,DE10,DK10,DQ10,EC10,EI10,CM10,DW10)/BULLETIN!$C$38*100</f>
        <v>49.491525423728817</v>
      </c>
      <c r="EQ10" s="52" t="str">
        <f t="shared" si="1"/>
        <v>5e</v>
      </c>
      <c r="ER10" s="51">
        <f>SUM(N10,T10,Z10,AF10,AL10,AR10,AX10,BD10,BJ10,BP10,BV10,CB10,CH10,CT10,CZ10,DF10,DL10,DR10,ED10,EJ10,CN10,DX10)/BULLETIN!$D$38*100</f>
        <v>33.644067796610173</v>
      </c>
      <c r="ES10" s="52" t="str">
        <f t="shared" si="2"/>
        <v>2e</v>
      </c>
      <c r="ET10" s="51">
        <f>SUM(L10:N10,R10:T10,X10:Z10,AD10:AF10,AJ10:AL10,AP10:AR10,AV10:AX10,BB10:BD10,BH10:BJ10,BN10:BP10,BT10:BV10,BZ10:CB10,CF10:CH10,CR10:CT10,CX10:CZ10,DD10:DF10,DJ10:DL10,DP10:DR10,EB10:ED10,EH10:EJ10,CL10:CN10,DV10:DX10)/BULLETIN!$E$38*100</f>
        <v>41.483050847457626</v>
      </c>
      <c r="EU10" s="52" t="str">
        <f t="shared" si="3"/>
        <v>5e</v>
      </c>
      <c r="EV10" s="51">
        <f>SUM(O10,U10,AA10,AG10,AM10,AS10,AY10,BE10,BK10,BQ10,BW10,CC10,CI10,CU10,DA10,DG10,DM10,DS10,EE10,EK10,CO10,DY10)/BULLETIN!$F$38*100</f>
        <v>48.474576271186443</v>
      </c>
      <c r="EW10" s="52" t="str">
        <f t="shared" si="4"/>
        <v>3e</v>
      </c>
      <c r="EX10" s="51">
        <f>SUM(P10,V10,AB10,AH10,AN10,AT10,AZ10,BF10,BL10,BR10,BX10,CD10,CJ10,CV10,DB10,DH10,DN10,DS10,EF10,EL10,CP10,DZ10)/BULLETIN!$G$38*100</f>
        <v>47.118644067796609</v>
      </c>
      <c r="EY10" s="52" t="str">
        <f t="shared" si="5"/>
        <v>6e</v>
      </c>
      <c r="EZ10" s="51">
        <f>SUM(Q10,W10,AC10,AI10,AO10,AU10,BA10,BG10,BM10,BS10,BY10,CE10,CK10,CW10,DC10,DI10,DO10,DU10,EG10,EM10,EA10,CQ10)/BULLETIN!$H$38*100</f>
        <v>32.711864406779661</v>
      </c>
      <c r="FA10" s="52" t="str">
        <f t="shared" si="6"/>
        <v>5e</v>
      </c>
      <c r="FB10" s="51">
        <f>SUM(O10:Q10,U10:W10,AA10:AC10,AG10:AI10,AM10:AO10,AS10:AU10,AY10:BA10,BE10:BG10,BK10:BM10,BQ10:BS10,BW10:BY10,CC10:CE10,CI10:CK10,CU10:CW10,DA10:DC10,DM10:DO10,DS10:DU10,EE10:EG10,EK10:EM10,DG10:DI10,CO10:CQ10,DY10:EA10)/BULLETIN!$I$38*100</f>
        <v>40.381355932203391</v>
      </c>
      <c r="FC10" s="52" t="str">
        <f t="shared" si="7"/>
        <v>4e</v>
      </c>
      <c r="FD10" s="51">
        <f>SUM(L10:EM10)/BULLETIN!$J$38*100</f>
        <v>40.932203389830505</v>
      </c>
      <c r="FE10" s="52" t="str">
        <f t="shared" si="8"/>
        <v>5e</v>
      </c>
    </row>
    <row r="11" spans="1:161" ht="15.5" x14ac:dyDescent="0.35">
      <c r="A11" s="13" t="s">
        <v>82</v>
      </c>
      <c r="B11" s="14" t="s">
        <v>83</v>
      </c>
      <c r="C11" s="14" t="s">
        <v>60</v>
      </c>
      <c r="D11" s="15">
        <v>40068</v>
      </c>
      <c r="E11" s="14" t="s">
        <v>131</v>
      </c>
      <c r="F11" s="14" t="s">
        <v>84</v>
      </c>
      <c r="G11" s="14" t="s">
        <v>72</v>
      </c>
      <c r="H11" s="14" t="s">
        <v>70</v>
      </c>
      <c r="I11" s="14" t="s">
        <v>76</v>
      </c>
      <c r="J11" s="14" t="s">
        <v>81</v>
      </c>
      <c r="K11" s="16">
        <v>710009</v>
      </c>
      <c r="L11" s="8">
        <v>3</v>
      </c>
      <c r="M11" s="1">
        <v>4</v>
      </c>
      <c r="N11" s="1">
        <v>11</v>
      </c>
      <c r="O11" s="1">
        <v>6</v>
      </c>
      <c r="P11" s="1">
        <v>7</v>
      </c>
      <c r="Q11" s="9">
        <v>10</v>
      </c>
      <c r="R11" s="10">
        <v>6</v>
      </c>
      <c r="S11" s="1">
        <v>6</v>
      </c>
      <c r="T11" s="1">
        <v>9</v>
      </c>
      <c r="U11" s="1">
        <v>6</v>
      </c>
      <c r="V11" s="2">
        <v>4</v>
      </c>
      <c r="W11" s="18">
        <v>11</v>
      </c>
      <c r="X11" s="8">
        <v>8</v>
      </c>
      <c r="Y11" s="1">
        <v>3</v>
      </c>
      <c r="Z11" s="1">
        <v>9</v>
      </c>
      <c r="AA11" s="1">
        <v>4</v>
      </c>
      <c r="AB11" s="1">
        <v>5</v>
      </c>
      <c r="AC11" s="9">
        <v>9</v>
      </c>
      <c r="AD11" s="8">
        <v>8</v>
      </c>
      <c r="AE11" s="1">
        <v>3</v>
      </c>
      <c r="AF11" s="1">
        <v>9</v>
      </c>
      <c r="AG11" s="1">
        <v>4</v>
      </c>
      <c r="AH11" s="1">
        <v>5</v>
      </c>
      <c r="AI11" s="9">
        <v>9</v>
      </c>
      <c r="AJ11" s="10">
        <v>5</v>
      </c>
      <c r="AK11" s="1">
        <v>6</v>
      </c>
      <c r="AL11" s="1">
        <v>22</v>
      </c>
      <c r="AM11" s="1">
        <v>7</v>
      </c>
      <c r="AN11" s="2">
        <v>3</v>
      </c>
      <c r="AO11" s="18">
        <v>22</v>
      </c>
      <c r="AP11" s="8">
        <v>11</v>
      </c>
      <c r="AQ11" s="1">
        <v>11</v>
      </c>
      <c r="AR11" s="1">
        <v>22</v>
      </c>
      <c r="AS11" s="2">
        <v>12</v>
      </c>
      <c r="AT11" s="1">
        <v>13</v>
      </c>
      <c r="AU11" s="9">
        <v>22</v>
      </c>
      <c r="AV11" s="8">
        <v>11</v>
      </c>
      <c r="AW11" s="1">
        <v>11</v>
      </c>
      <c r="AX11" s="1">
        <v>22</v>
      </c>
      <c r="AY11" s="2">
        <v>12</v>
      </c>
      <c r="AZ11" s="1">
        <v>13</v>
      </c>
      <c r="BA11" s="9">
        <v>22</v>
      </c>
      <c r="BB11" s="10">
        <v>12</v>
      </c>
      <c r="BC11" s="1">
        <v>11</v>
      </c>
      <c r="BD11" s="1">
        <v>22</v>
      </c>
      <c r="BE11" s="1">
        <v>11</v>
      </c>
      <c r="BF11" s="2">
        <v>11</v>
      </c>
      <c r="BG11" s="1">
        <v>21</v>
      </c>
      <c r="BH11" s="10">
        <v>9</v>
      </c>
      <c r="BI11" s="1">
        <v>12</v>
      </c>
      <c r="BJ11" s="1">
        <v>23</v>
      </c>
      <c r="BK11" s="2">
        <v>12</v>
      </c>
      <c r="BL11" s="1">
        <v>11</v>
      </c>
      <c r="BM11" s="9">
        <v>9</v>
      </c>
      <c r="BN11" s="10">
        <v>11</v>
      </c>
      <c r="BO11" s="1">
        <v>17</v>
      </c>
      <c r="BP11" s="1">
        <v>23</v>
      </c>
      <c r="BQ11" s="1">
        <v>12</v>
      </c>
      <c r="BR11" s="2">
        <v>13</v>
      </c>
      <c r="BS11" s="18">
        <v>20</v>
      </c>
      <c r="BT11" s="8">
        <v>15</v>
      </c>
      <c r="BU11" s="1">
        <v>12</v>
      </c>
      <c r="BV11" s="1"/>
      <c r="BW11" s="2">
        <v>12</v>
      </c>
      <c r="BX11" s="1">
        <v>11</v>
      </c>
      <c r="BY11" s="9"/>
      <c r="BZ11" s="10">
        <v>11</v>
      </c>
      <c r="CA11" s="1">
        <v>17</v>
      </c>
      <c r="CB11" s="1">
        <v>23</v>
      </c>
      <c r="CC11" s="1">
        <v>12</v>
      </c>
      <c r="CD11" s="2">
        <v>13</v>
      </c>
      <c r="CE11" s="18">
        <v>20</v>
      </c>
      <c r="CF11" s="10">
        <v>11</v>
      </c>
      <c r="CG11" s="1">
        <v>17</v>
      </c>
      <c r="CH11" s="1">
        <v>23</v>
      </c>
      <c r="CI11" s="1">
        <v>12</v>
      </c>
      <c r="CJ11" s="2">
        <v>13</v>
      </c>
      <c r="CK11" s="18">
        <v>20</v>
      </c>
      <c r="CL11" s="10">
        <v>11</v>
      </c>
      <c r="CM11" s="1">
        <v>17</v>
      </c>
      <c r="CN11" s="1">
        <v>23</v>
      </c>
      <c r="CO11" s="1">
        <v>12</v>
      </c>
      <c r="CP11" s="2">
        <v>13</v>
      </c>
      <c r="CQ11" s="18">
        <v>20</v>
      </c>
      <c r="CR11" s="10">
        <v>11</v>
      </c>
      <c r="CS11" s="1">
        <v>12</v>
      </c>
      <c r="CT11" s="1"/>
      <c r="CU11" s="1">
        <v>11</v>
      </c>
      <c r="CV11" s="2">
        <v>12</v>
      </c>
      <c r="CW11" s="18"/>
      <c r="CX11" s="8">
        <v>14</v>
      </c>
      <c r="CY11" s="1">
        <v>14</v>
      </c>
      <c r="CZ11" s="1"/>
      <c r="DA11" s="1">
        <v>11</v>
      </c>
      <c r="DB11" s="2">
        <v>11</v>
      </c>
      <c r="DC11" s="18"/>
      <c r="DD11" s="8">
        <v>21</v>
      </c>
      <c r="DE11" s="1">
        <v>22</v>
      </c>
      <c r="DF11" s="1">
        <v>44</v>
      </c>
      <c r="DG11" s="1">
        <v>13</v>
      </c>
      <c r="DH11" s="1">
        <v>26</v>
      </c>
      <c r="DI11" s="2">
        <v>43</v>
      </c>
      <c r="DJ11" s="60">
        <v>11</v>
      </c>
      <c r="DK11" s="1">
        <v>12</v>
      </c>
      <c r="DL11" s="1"/>
      <c r="DM11" s="1">
        <v>11</v>
      </c>
      <c r="DN11" s="1">
        <v>12</v>
      </c>
      <c r="DO11" s="61"/>
      <c r="DP11" s="10">
        <v>11</v>
      </c>
      <c r="DQ11" s="1">
        <v>12</v>
      </c>
      <c r="DR11" s="1"/>
      <c r="DS11" s="1">
        <v>11</v>
      </c>
      <c r="DT11" s="1">
        <v>12</v>
      </c>
      <c r="DU11" s="61"/>
      <c r="DV11" s="60">
        <v>11</v>
      </c>
      <c r="DW11" s="1">
        <v>12</v>
      </c>
      <c r="DX11" s="1"/>
      <c r="DY11" s="1">
        <v>11</v>
      </c>
      <c r="DZ11" s="1">
        <v>12</v>
      </c>
      <c r="EA11" s="61"/>
      <c r="EB11" s="10">
        <v>25</v>
      </c>
      <c r="EC11" s="1">
        <v>26</v>
      </c>
      <c r="ED11" s="1">
        <v>54</v>
      </c>
      <c r="EE11" s="1">
        <v>28</v>
      </c>
      <c r="EF11" s="1">
        <v>29</v>
      </c>
      <c r="EG11" s="61">
        <v>49</v>
      </c>
      <c r="EH11" s="10">
        <v>23</v>
      </c>
      <c r="EI11" s="1">
        <v>30</v>
      </c>
      <c r="EJ11" s="1">
        <v>55</v>
      </c>
      <c r="EK11" s="1">
        <v>33</v>
      </c>
      <c r="EL11" s="2">
        <v>34</v>
      </c>
      <c r="EM11" s="1">
        <v>54</v>
      </c>
      <c r="EN11" s="51">
        <f>SUM(L11,R11,X11,AD11,AJ11,AP11,AV11,BB11,BH11,BN11,BT11,BZ11,CF11,CL11,CR11,CX11,DD11,DJ11,DP11,DV11,EB11,EH11)/BULLETIN!$B$38*100</f>
        <v>43.898305084745765</v>
      </c>
      <c r="EO11" s="52" t="str">
        <f t="shared" si="0"/>
        <v>8e</v>
      </c>
      <c r="EP11" s="51">
        <f>SUM(M11,S11,Y11,AE11,AK11,AQ11,AW11,BC11,BI11,BO11,BU11,CA11,CG11,CS11,CY11,DE11,DK11,DQ11,EC11,EI11,CM11,DW11)/BULLETIN!$C$38*100</f>
        <v>48.644067796610166</v>
      </c>
      <c r="EQ11" s="52" t="str">
        <f t="shared" si="1"/>
        <v>7e</v>
      </c>
      <c r="ER11" s="51">
        <f>SUM(N11,T11,Z11,AF11,AL11,AR11,AX11,BD11,BJ11,BP11,BV11,CB11,CH11,CT11,CZ11,DF11,DL11,DR11,ED11,EJ11,CN11,DX11)/BULLETIN!$D$38*100</f>
        <v>33.389830508474574</v>
      </c>
      <c r="ES11" s="52" t="str">
        <f t="shared" si="2"/>
        <v>4e</v>
      </c>
      <c r="ET11" s="51">
        <f>SUM(L11:N11,R11:T11,X11:Z11,AD11:AF11,AJ11:AL11,AP11:AR11,AV11:AX11,BB11:BD11,BH11:BJ11,BN11:BP11,BT11:BV11,BZ11:CB11,CF11:CH11,CR11:CT11,CX11:CZ11,DD11:DF11,DJ11:DL11,DP11:DR11,EB11:ED11,EH11:EJ11,CL11:CN11,DV11:DX11)/BULLETIN!$E$38*100</f>
        <v>39.83050847457627</v>
      </c>
      <c r="EU11" s="52" t="str">
        <f t="shared" si="3"/>
        <v>8e</v>
      </c>
      <c r="EV11" s="51">
        <f>SUM(O11,U11,AA11,AG11,AM11,AS11,AY11,BE11,BK11,BQ11,BW11,CC11,CI11,CU11,DA11,DG11,DM11,DS11,EE11,EK11,CO11,DY11)/BULLETIN!$F$38*100</f>
        <v>44.576271186440678</v>
      </c>
      <c r="EW11" s="52" t="str">
        <f t="shared" si="4"/>
        <v>8e</v>
      </c>
      <c r="EX11" s="51">
        <f>SUM(P11,V11,AB11,AH11,AN11,AT11,AZ11,BF11,BL11,BR11,BX11,CD11,CJ11,CV11,DB11,DH11,DN11,DS11,EF11,EL11,CP11,DZ11)/BULLETIN!$G$38*100</f>
        <v>47.79661016949153</v>
      </c>
      <c r="EY11" s="52" t="str">
        <f t="shared" si="5"/>
        <v>4e</v>
      </c>
      <c r="EZ11" s="51">
        <f>SUM(Q11,W11,AC11,AI11,AO11,AU11,BA11,BG11,BM11,BS11,BY11,CE11,CK11,CW11,DC11,DI11,DO11,DU11,EG11,EM11,EA11,CQ11)/BULLETIN!$H$38*100</f>
        <v>30.593220338983052</v>
      </c>
      <c r="FA11" s="52" t="str">
        <f t="shared" si="6"/>
        <v>9e</v>
      </c>
      <c r="FB11" s="51">
        <f>SUM(O11:Q11,U11:W11,AA11:AC11,AG11:AI11,AM11:AO11,AS11:AU11,AY11:BA11,BE11:BG11,BK11:BM11,BQ11:BS11,BW11:BY11,CC11:CE11,CI11:CK11,CU11:CW11,DA11:DC11,DM11:DO11,DS11:DU11,EE11:EG11,EK11:EM11,DG11:DI11,CO11:CQ11,DY11:EA11)/BULLETIN!$I$38*100</f>
        <v>38.432203389830512</v>
      </c>
      <c r="FC11" s="52" t="str">
        <f t="shared" si="7"/>
        <v>8e</v>
      </c>
      <c r="FD11" s="51">
        <f>SUM(L11:EM11)/BULLETIN!$J$38*100</f>
        <v>39.131355932203391</v>
      </c>
      <c r="FE11" s="52" t="str">
        <f t="shared" si="8"/>
        <v>8e</v>
      </c>
    </row>
    <row r="12" spans="1:161" ht="15.5" x14ac:dyDescent="0.35">
      <c r="A12" s="13" t="s">
        <v>109</v>
      </c>
      <c r="B12" s="14"/>
      <c r="C12" s="14"/>
      <c r="D12" s="14"/>
      <c r="E12" s="14"/>
      <c r="F12" s="14"/>
      <c r="G12" s="14"/>
      <c r="H12" s="14"/>
      <c r="I12" s="14"/>
      <c r="J12" s="14"/>
      <c r="K12" s="16"/>
      <c r="L12" s="8"/>
      <c r="M12" s="1"/>
      <c r="N12" s="1"/>
      <c r="O12" s="1"/>
      <c r="P12" s="1"/>
      <c r="Q12" s="9"/>
      <c r="R12" s="10"/>
      <c r="S12" s="1"/>
      <c r="T12" s="1"/>
      <c r="U12" s="1"/>
      <c r="V12" s="2"/>
      <c r="W12" s="18"/>
      <c r="X12" s="8"/>
      <c r="Y12" s="1"/>
      <c r="Z12" s="1"/>
      <c r="AA12" s="1"/>
      <c r="AB12" s="1"/>
      <c r="AC12" s="9"/>
      <c r="AD12" s="8"/>
      <c r="AE12" s="1"/>
      <c r="AF12" s="1"/>
      <c r="AG12" s="1"/>
      <c r="AH12" s="1"/>
      <c r="AI12" s="9"/>
      <c r="AJ12" s="10"/>
      <c r="AK12" s="1"/>
      <c r="AL12" s="1"/>
      <c r="AM12" s="1"/>
      <c r="AN12" s="2"/>
      <c r="AO12" s="18"/>
      <c r="AP12" s="8"/>
      <c r="AQ12" s="1"/>
      <c r="AR12" s="1"/>
      <c r="AS12" s="2"/>
      <c r="AT12" s="1"/>
      <c r="AU12" s="9"/>
      <c r="AV12" s="8"/>
      <c r="AW12" s="1"/>
      <c r="AX12" s="1"/>
      <c r="AY12" s="2"/>
      <c r="AZ12" s="1"/>
      <c r="BA12" s="9"/>
      <c r="BB12" s="10"/>
      <c r="BC12" s="1"/>
      <c r="BD12" s="1"/>
      <c r="BE12" s="1"/>
      <c r="BF12" s="2"/>
      <c r="BG12" s="1"/>
      <c r="BH12" s="10"/>
      <c r="BI12" s="1"/>
      <c r="BJ12" s="1"/>
      <c r="BK12" s="2"/>
      <c r="BL12" s="1"/>
      <c r="BM12" s="9"/>
      <c r="BN12" s="10"/>
      <c r="BO12" s="1"/>
      <c r="BP12" s="1"/>
      <c r="BQ12" s="1"/>
      <c r="BR12" s="2"/>
      <c r="BS12" s="18"/>
      <c r="BT12" s="8"/>
      <c r="BU12" s="1"/>
      <c r="BV12" s="1"/>
      <c r="BW12" s="2"/>
      <c r="BX12" s="1"/>
      <c r="BY12" s="9"/>
      <c r="BZ12" s="10"/>
      <c r="CA12" s="1"/>
      <c r="CB12" s="1"/>
      <c r="CC12" s="1"/>
      <c r="CD12" s="2"/>
      <c r="CE12" s="18"/>
      <c r="CF12" s="10"/>
      <c r="CG12" s="1"/>
      <c r="CH12" s="1"/>
      <c r="CI12" s="1"/>
      <c r="CJ12" s="2"/>
      <c r="CK12" s="18"/>
      <c r="CL12" s="10"/>
      <c r="CM12" s="1"/>
      <c r="CN12" s="1"/>
      <c r="CO12" s="1"/>
      <c r="CP12" s="2"/>
      <c r="CQ12" s="18"/>
      <c r="CR12" s="10"/>
      <c r="CS12" s="1"/>
      <c r="CT12" s="1"/>
      <c r="CU12" s="1"/>
      <c r="CV12" s="2"/>
      <c r="CW12" s="18"/>
      <c r="CX12" s="8"/>
      <c r="CY12" s="1"/>
      <c r="CZ12" s="1"/>
      <c r="DA12" s="1"/>
      <c r="DB12" s="2"/>
      <c r="DC12" s="18"/>
      <c r="DD12" s="8"/>
      <c r="DE12" s="1"/>
      <c r="DF12" s="1"/>
      <c r="DG12" s="1"/>
      <c r="DH12" s="1"/>
      <c r="DI12" s="2"/>
      <c r="DJ12" s="60"/>
      <c r="DK12" s="1"/>
      <c r="DL12" s="1"/>
      <c r="DM12" s="1"/>
      <c r="DN12" s="1"/>
      <c r="DO12" s="61"/>
      <c r="DP12" s="10"/>
      <c r="DQ12" s="1"/>
      <c r="DR12" s="1"/>
      <c r="DS12" s="1"/>
      <c r="DT12" s="1"/>
      <c r="DU12" s="61"/>
      <c r="DV12" s="60"/>
      <c r="DW12" s="1"/>
      <c r="DX12" s="1"/>
      <c r="DY12" s="1"/>
      <c r="DZ12" s="1"/>
      <c r="EA12" s="61"/>
      <c r="EB12" s="10"/>
      <c r="EC12" s="1"/>
      <c r="ED12" s="1"/>
      <c r="EE12" s="1"/>
      <c r="EF12" s="1"/>
      <c r="EG12" s="61"/>
      <c r="EH12" s="10"/>
      <c r="EI12" s="1"/>
      <c r="EJ12" s="1"/>
      <c r="EK12" s="1"/>
      <c r="EL12" s="2"/>
      <c r="EM12" s="1"/>
      <c r="EN12" s="51">
        <f>SUM(L12,R12,X12,AD12,AJ12,AP12,AV12,BB12,BH12,BN12,BT12,BZ12,CF12,CL12,CR12,CX12,DD12,DJ12,DP12,DV12,EB12,EH12)/BULLETIN!$B$38*100</f>
        <v>0</v>
      </c>
      <c r="EO12" s="52" t="str">
        <f t="shared" si="0"/>
        <v>10e</v>
      </c>
      <c r="EP12" s="51">
        <f>SUM(M12,S12,Y12,AE12,AK12,AQ12,AW12,BC12,BI12,BO12,BU12,CA12,CG12,CS12,CY12,DE12,DK12,DQ12,EC12,EI12,CM12,DW12)/BULLETIN!$C$38*100</f>
        <v>0</v>
      </c>
      <c r="EQ12" s="52" t="str">
        <f t="shared" si="1"/>
        <v>10e</v>
      </c>
      <c r="ER12" s="51">
        <f>SUM(N12,T12,Z12,AF12,AL12,AR12,AX12,BD12,BJ12,BP12,BV12,CB12,CH12,CT12,CZ12,DF12,DL12,DR12,ED12,EJ12,CN12,DX12)/BULLETIN!$D$38*100</f>
        <v>0</v>
      </c>
      <c r="ES12" s="52" t="str">
        <f t="shared" si="2"/>
        <v>10e</v>
      </c>
      <c r="ET12" s="51">
        <f>SUM(L12:N12,R12:T12,X12:Z12,AD12:AF12,AJ12:AL12,AP12:AR12,AV12:AX12,BB12:BD12,BH12:BJ12,BN12:BP12,BT12:BV12,BZ12:CB12,CF12:CH12,CR12:CT12,CX12:CZ12,DD12:DF12,DJ12:DL12,DP12:DR12,EB12:ED12,EH12:EJ12,CL12:CN12,DV12:DX12)/BULLETIN!$E$38*100</f>
        <v>0</v>
      </c>
      <c r="EU12" s="52" t="str">
        <f t="shared" si="3"/>
        <v>10e</v>
      </c>
      <c r="EV12" s="51">
        <f>SUM(O12,U12,AA12,AG12,AM12,AS12,AY12,BE12,BK12,BQ12,BW12,CC12,CI12,CU12,DA12,DG12,DM12,DS12,EE12,EK12,CO12,DY12)/BULLETIN!$F$38*100</f>
        <v>0</v>
      </c>
      <c r="EW12" s="52" t="str">
        <f t="shared" si="4"/>
        <v>10e</v>
      </c>
      <c r="EX12" s="51">
        <f>SUM(P12,V12,AB12,AH12,AN12,AT12,AZ12,BF12,BL12,BR12,BX12,CD12,CJ12,CV12,DB12,DH12,DN12,DS12,EF12,EL12,CP12,DZ12)/BULLETIN!$G$38*100</f>
        <v>0</v>
      </c>
      <c r="EY12" s="52" t="str">
        <f t="shared" si="5"/>
        <v>10e</v>
      </c>
      <c r="EZ12" s="51">
        <f>SUM(Q12,W12,AC12,AI12,AO12,AU12,BA12,BG12,BM12,BS12,BY12,CE12,CK12,CW12,DC12,DI12,DO12,DU12,EG12,EM12,EA12,CQ12)/BULLETIN!$H$38*100</f>
        <v>0</v>
      </c>
      <c r="FA12" s="52" t="str">
        <f t="shared" si="6"/>
        <v>10e</v>
      </c>
      <c r="FB12" s="51">
        <f>SUM(O12:Q12,U12:W12,AA12:AC12,AG12:AI12,AM12:AO12,AS12:AU12,AY12:BA12,BE12:BG12,BK12:BM12,BQ12:BS12,BW12:BY12,CC12:CE12,CI12:CK12,CU12:CW12,DA12:DC12,DM12:DO12,DS12:DU12,EE12:EG12,EK12:EM12,DG12:DI12,CO12:CQ12,DY12:EA12)/BULLETIN!$I$38*100</f>
        <v>0</v>
      </c>
      <c r="FC12" s="52" t="str">
        <f t="shared" si="7"/>
        <v>10e</v>
      </c>
      <c r="FD12" s="51">
        <f>SUM(L12:EM12)/BULLETIN!$J$38*100</f>
        <v>0</v>
      </c>
      <c r="FE12" s="52" t="str">
        <f t="shared" si="8"/>
        <v>10e</v>
      </c>
    </row>
    <row r="13" spans="1:161" ht="15.5" x14ac:dyDescent="0.35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6"/>
      <c r="L13" s="8"/>
      <c r="M13" s="1"/>
      <c r="N13" s="1"/>
      <c r="O13" s="1"/>
      <c r="P13" s="1"/>
      <c r="Q13" s="9"/>
      <c r="R13" s="10"/>
      <c r="S13" s="1"/>
      <c r="T13" s="1"/>
      <c r="U13" s="1"/>
      <c r="V13" s="2"/>
      <c r="W13" s="18"/>
      <c r="X13" s="8"/>
      <c r="Y13" s="1"/>
      <c r="Z13" s="1"/>
      <c r="AA13" s="1"/>
      <c r="AB13" s="1"/>
      <c r="AC13" s="9"/>
      <c r="AD13" s="8"/>
      <c r="AE13" s="1"/>
      <c r="AF13" s="1"/>
      <c r="AG13" s="1"/>
      <c r="AH13" s="1"/>
      <c r="AI13" s="9"/>
      <c r="AJ13" s="10"/>
      <c r="AK13" s="1"/>
      <c r="AL13" s="1"/>
      <c r="AM13" s="1"/>
      <c r="AN13" s="2"/>
      <c r="AO13" s="18"/>
      <c r="AP13" s="8"/>
      <c r="AQ13" s="1"/>
      <c r="AR13" s="1"/>
      <c r="AS13" s="2"/>
      <c r="AT13" s="1"/>
      <c r="AU13" s="9"/>
      <c r="AV13" s="8"/>
      <c r="AW13" s="1"/>
      <c r="AX13" s="1"/>
      <c r="AY13" s="2"/>
      <c r="AZ13" s="1"/>
      <c r="BA13" s="9"/>
      <c r="BB13" s="10"/>
      <c r="BC13" s="1"/>
      <c r="BD13" s="1"/>
      <c r="BE13" s="1"/>
      <c r="BF13" s="2"/>
      <c r="BG13" s="1"/>
      <c r="BH13" s="10"/>
      <c r="BI13" s="1"/>
      <c r="BJ13" s="1"/>
      <c r="BK13" s="2"/>
      <c r="BL13" s="1"/>
      <c r="BM13" s="9"/>
      <c r="BN13" s="10"/>
      <c r="BO13" s="1"/>
      <c r="BP13" s="1"/>
      <c r="BQ13" s="1"/>
      <c r="BR13" s="2"/>
      <c r="BS13" s="18"/>
      <c r="BT13" s="8"/>
      <c r="BU13" s="1"/>
      <c r="BV13" s="1"/>
      <c r="BW13" s="2"/>
      <c r="BX13" s="1"/>
      <c r="BY13" s="9"/>
      <c r="BZ13" s="10"/>
      <c r="CA13" s="1"/>
      <c r="CB13" s="1"/>
      <c r="CC13" s="1"/>
      <c r="CD13" s="2"/>
      <c r="CE13" s="18"/>
      <c r="CF13" s="10"/>
      <c r="CG13" s="1"/>
      <c r="CH13" s="1"/>
      <c r="CI13" s="1"/>
      <c r="CJ13" s="2"/>
      <c r="CK13" s="18"/>
      <c r="CL13" s="10"/>
      <c r="CM13" s="1"/>
      <c r="CN13" s="1"/>
      <c r="CO13" s="1"/>
      <c r="CP13" s="2"/>
      <c r="CQ13" s="18"/>
      <c r="CR13" s="10"/>
      <c r="CS13" s="1"/>
      <c r="CT13" s="1"/>
      <c r="CU13" s="1"/>
      <c r="CV13" s="2"/>
      <c r="CW13" s="18"/>
      <c r="CX13" s="8"/>
      <c r="CY13" s="1"/>
      <c r="CZ13" s="1"/>
      <c r="DA13" s="1"/>
      <c r="DB13" s="2"/>
      <c r="DC13" s="18"/>
      <c r="DD13" s="8"/>
      <c r="DE13" s="1"/>
      <c r="DF13" s="1"/>
      <c r="DG13" s="1"/>
      <c r="DH13" s="1"/>
      <c r="DI13" s="2"/>
      <c r="DJ13" s="60"/>
      <c r="DK13" s="1"/>
      <c r="DL13" s="1"/>
      <c r="DM13" s="1"/>
      <c r="DN13" s="1"/>
      <c r="DO13" s="61"/>
      <c r="DP13" s="10"/>
      <c r="DQ13" s="1"/>
      <c r="DR13" s="1"/>
      <c r="DS13" s="1"/>
      <c r="DT13" s="1"/>
      <c r="DU13" s="61"/>
      <c r="DV13" s="60"/>
      <c r="DW13" s="1"/>
      <c r="DX13" s="1"/>
      <c r="DY13" s="1"/>
      <c r="DZ13" s="1"/>
      <c r="EA13" s="61"/>
      <c r="EB13" s="10"/>
      <c r="EC13" s="1"/>
      <c r="ED13" s="1"/>
      <c r="EE13" s="1"/>
      <c r="EF13" s="1"/>
      <c r="EG13" s="61"/>
      <c r="EH13" s="10"/>
      <c r="EI13" s="1"/>
      <c r="EJ13" s="1"/>
      <c r="EK13" s="1"/>
      <c r="EL13" s="2"/>
      <c r="EM13" s="1"/>
      <c r="EN13" s="51">
        <f>SUM(L13,R13,X13,AD13,AJ13,AP13,AV13,BB13,BH13,BN13,BT13,BZ13,CF13,CL13,CR13,CX13,DD13,DJ13,DP13,DV13,EB13,EH13)/BULLETIN!$B$38*100</f>
        <v>0</v>
      </c>
      <c r="EO13" s="52" t="str">
        <f t="shared" si="0"/>
        <v>10e</v>
      </c>
      <c r="EP13" s="51">
        <f>SUM(M13,S13,Y13,AE13,AK13,AQ13,AW13,BC13,BI13,BO13,BU13,CA13,CG13,CS13,CY13,DE13,DK13,DQ13,EC13,EI13,CM13,DW13)/BULLETIN!$C$38*100</f>
        <v>0</v>
      </c>
      <c r="EQ13" s="52" t="str">
        <f t="shared" si="1"/>
        <v>10e</v>
      </c>
      <c r="ER13" s="51">
        <f>SUM(N13,T13,Z13,AF13,AL13,AR13,AX13,BD13,BJ13,BP13,BV13,CB13,CH13,CT13,CZ13,DF13,DL13,DR13,ED13,EJ13,CN13,DX13)/BULLETIN!$D$38*100</f>
        <v>0</v>
      </c>
      <c r="ES13" s="52" t="str">
        <f t="shared" si="2"/>
        <v>10e</v>
      </c>
      <c r="ET13" s="51">
        <f>SUM(L13:N13,R13:T13,X13:Z13,AD13:AF13,AJ13:AL13,AP13:AR13,AV13:AX13,BB13:BD13,BH13:BJ13,BN13:BP13,BT13:BV13,BZ13:CB13,CF13:CH13,CR13:CT13,CX13:CZ13,DD13:DF13,DJ13:DL13,DP13:DR13,EB13:ED13,EH13:EJ13,CL13:CN13,DV13:DX13)/BULLETIN!$E$38*100</f>
        <v>0</v>
      </c>
      <c r="EU13" s="52" t="str">
        <f t="shared" si="3"/>
        <v>10e</v>
      </c>
      <c r="EV13" s="51">
        <f>SUM(O13,U13,AA13,AG13,AM13,AS13,AY13,BE13,BK13,BQ13,BW13,CC13,CI13,CU13,DA13,DG13,DM13,DS13,EE13,EK13,CO13,DY13)/BULLETIN!$F$38*100</f>
        <v>0</v>
      </c>
      <c r="EW13" s="52" t="str">
        <f t="shared" si="4"/>
        <v>10e</v>
      </c>
      <c r="EX13" s="51">
        <f>SUM(P13,V13,AB13,AH13,AN13,AT13,AZ13,BF13,BL13,BR13,BX13,CD13,CJ13,CV13,DB13,DH13,DN13,DS13,EF13,EL13,CP13,DZ13)/BULLETIN!$G$38*100</f>
        <v>0</v>
      </c>
      <c r="EY13" s="52" t="str">
        <f t="shared" si="5"/>
        <v>10e</v>
      </c>
      <c r="EZ13" s="51">
        <f>SUM(Q13,W13,AC13,AI13,AO13,AU13,BA13,BG13,BM13,BS13,BY13,CE13,CK13,CW13,DC13,DI13,DO13,DU13,EG13,EM13,EA13,CQ13)/BULLETIN!$H$38*100</f>
        <v>0</v>
      </c>
      <c r="FA13" s="52" t="str">
        <f t="shared" si="6"/>
        <v>10e</v>
      </c>
      <c r="FB13" s="51">
        <f>SUM(O13:Q13,U13:W13,AA13:AC13,AG13:AI13,AM13:AO13,AS13:AU13,AY13:BA13,BE13:BG13,BK13:BM13,BQ13:BS13,BW13:BY13,CC13:CE13,CI13:CK13,CU13:CW13,DA13:DC13,DM13:DO13,DS13:DU13,EE13:EG13,EK13:EM13,DG13:DI13,CO13:CQ13,DY13:EA13)/BULLETIN!$I$38*100</f>
        <v>0</v>
      </c>
      <c r="FC13" s="52" t="str">
        <f t="shared" si="7"/>
        <v>10e</v>
      </c>
      <c r="FD13" s="51">
        <f>SUM(L13:EM13)/BULLETIN!$J$38*100</f>
        <v>0</v>
      </c>
      <c r="FE13" s="52" t="str">
        <f t="shared" si="8"/>
        <v>10e</v>
      </c>
    </row>
    <row r="14" spans="1:161" ht="15.5" x14ac:dyDescent="0.35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6"/>
      <c r="L14" s="8"/>
      <c r="M14" s="1"/>
      <c r="N14" s="1"/>
      <c r="O14" s="1"/>
      <c r="P14" s="1"/>
      <c r="Q14" s="9"/>
      <c r="R14" s="10"/>
      <c r="S14" s="1"/>
      <c r="T14" s="1"/>
      <c r="U14" s="1"/>
      <c r="V14" s="2"/>
      <c r="W14" s="18"/>
      <c r="X14" s="8"/>
      <c r="Y14" s="1"/>
      <c r="Z14" s="1"/>
      <c r="AA14" s="1"/>
      <c r="AB14" s="1"/>
      <c r="AC14" s="9"/>
      <c r="AD14" s="8"/>
      <c r="AE14" s="1"/>
      <c r="AF14" s="1"/>
      <c r="AG14" s="1"/>
      <c r="AH14" s="1"/>
      <c r="AI14" s="9"/>
      <c r="AJ14" s="10"/>
      <c r="AK14" s="1"/>
      <c r="AL14" s="1"/>
      <c r="AM14" s="1"/>
      <c r="AN14" s="2"/>
      <c r="AO14" s="18"/>
      <c r="AP14" s="8"/>
      <c r="AQ14" s="1"/>
      <c r="AR14" s="1"/>
      <c r="AS14" s="2"/>
      <c r="AT14" s="1"/>
      <c r="AU14" s="9"/>
      <c r="AV14" s="8"/>
      <c r="AW14" s="1"/>
      <c r="AX14" s="1"/>
      <c r="AY14" s="2"/>
      <c r="AZ14" s="1"/>
      <c r="BA14" s="9"/>
      <c r="BB14" s="10"/>
      <c r="BC14" s="1"/>
      <c r="BD14" s="1"/>
      <c r="BE14" s="1"/>
      <c r="BF14" s="2"/>
      <c r="BG14" s="1"/>
      <c r="BH14" s="10"/>
      <c r="BI14" s="1"/>
      <c r="BJ14" s="1"/>
      <c r="BK14" s="2"/>
      <c r="BL14" s="1"/>
      <c r="BM14" s="9"/>
      <c r="BN14" s="10"/>
      <c r="BO14" s="1"/>
      <c r="BP14" s="1"/>
      <c r="BQ14" s="1"/>
      <c r="BR14" s="2"/>
      <c r="BS14" s="18"/>
      <c r="BT14" s="8"/>
      <c r="BU14" s="1"/>
      <c r="BV14" s="1"/>
      <c r="BW14" s="2"/>
      <c r="BX14" s="1"/>
      <c r="BY14" s="9"/>
      <c r="BZ14" s="10"/>
      <c r="CA14" s="1"/>
      <c r="CB14" s="1"/>
      <c r="CC14" s="1"/>
      <c r="CD14" s="2"/>
      <c r="CE14" s="18"/>
      <c r="CF14" s="10"/>
      <c r="CG14" s="1"/>
      <c r="CH14" s="1"/>
      <c r="CI14" s="1"/>
      <c r="CJ14" s="2"/>
      <c r="CK14" s="18"/>
      <c r="CL14" s="10"/>
      <c r="CM14" s="1"/>
      <c r="CN14" s="1"/>
      <c r="CO14" s="1"/>
      <c r="CP14" s="2"/>
      <c r="CQ14" s="18"/>
      <c r="CR14" s="10"/>
      <c r="CS14" s="1"/>
      <c r="CT14" s="1"/>
      <c r="CU14" s="1"/>
      <c r="CV14" s="2"/>
      <c r="CW14" s="18"/>
      <c r="CX14" s="8"/>
      <c r="CY14" s="1"/>
      <c r="CZ14" s="1"/>
      <c r="DA14" s="1"/>
      <c r="DB14" s="2"/>
      <c r="DC14" s="18"/>
      <c r="DD14" s="8"/>
      <c r="DE14" s="1"/>
      <c r="DF14" s="1"/>
      <c r="DG14" s="1"/>
      <c r="DH14" s="1"/>
      <c r="DI14" s="2"/>
      <c r="DJ14" s="60"/>
      <c r="DK14" s="1"/>
      <c r="DL14" s="1"/>
      <c r="DM14" s="1"/>
      <c r="DN14" s="1"/>
      <c r="DO14" s="61"/>
      <c r="DP14" s="10"/>
      <c r="DQ14" s="1"/>
      <c r="DR14" s="1"/>
      <c r="DS14" s="1"/>
      <c r="DT14" s="1"/>
      <c r="DU14" s="61"/>
      <c r="DV14" s="60"/>
      <c r="DW14" s="1"/>
      <c r="DX14" s="1"/>
      <c r="DY14" s="1"/>
      <c r="DZ14" s="1"/>
      <c r="EA14" s="61"/>
      <c r="EB14" s="10"/>
      <c r="EC14" s="1"/>
      <c r="ED14" s="1"/>
      <c r="EE14" s="1"/>
      <c r="EF14" s="1"/>
      <c r="EG14" s="61"/>
      <c r="EH14" s="10"/>
      <c r="EI14" s="1"/>
      <c r="EJ14" s="1"/>
      <c r="EK14" s="1"/>
      <c r="EL14" s="2"/>
      <c r="EM14" s="1"/>
      <c r="EN14" s="51">
        <f>SUM(L14,R14,X14,AD14,AJ14,AP14,AV14,BB14,BH14,BN14,BT14,BZ14,CF14,CL14,CR14,CX14,DD14,DJ14,DP14,DV14,EB14,EH14)/BULLETIN!$B$38*100</f>
        <v>0</v>
      </c>
      <c r="EO14" s="52" t="str">
        <f t="shared" si="0"/>
        <v>10e</v>
      </c>
      <c r="EP14" s="51">
        <f>SUM(M14,S14,Y14,AE14,AK14,AQ14,AW14,BC14,BI14,BO14,BU14,CA14,CG14,CS14,CY14,DE14,DK14,DQ14,EC14,EI14,CM14,DW14)/BULLETIN!$C$38*100</f>
        <v>0</v>
      </c>
      <c r="EQ14" s="52" t="str">
        <f t="shared" si="1"/>
        <v>10e</v>
      </c>
      <c r="ER14" s="51">
        <f>SUM(N14,T14,Z14,AF14,AL14,AR14,AX14,BD14,BJ14,BP14,BV14,CB14,CH14,CT14,CZ14,DF14,DL14,DR14,ED14,EJ14,CN14,DX14)/BULLETIN!$D$38*100</f>
        <v>0</v>
      </c>
      <c r="ES14" s="52" t="str">
        <f t="shared" si="2"/>
        <v>10e</v>
      </c>
      <c r="ET14" s="51">
        <f>SUM(L14:N14,R14:T14,X14:Z14,AD14:AF14,AJ14:AL14,AP14:AR14,AV14:AX14,BB14:BD14,BH14:BJ14,BN14:BP14,BT14:BV14,BZ14:CB14,CF14:CH14,CR14:CT14,CX14:CZ14,DD14:DF14,DJ14:DL14,DP14:DR14,EB14:ED14,EH14:EJ14,CL14:CN14,DV14:DX14)/BULLETIN!$E$38*100</f>
        <v>0</v>
      </c>
      <c r="EU14" s="52" t="str">
        <f t="shared" si="3"/>
        <v>10e</v>
      </c>
      <c r="EV14" s="51">
        <f>SUM(O14,U14,AA14,AG14,AM14,AS14,AY14,BE14,BK14,BQ14,BW14,CC14,CI14,CU14,DA14,DG14,DM14,DS14,EE14,EK14,CO14,DY14)/BULLETIN!$F$38*100</f>
        <v>0</v>
      </c>
      <c r="EW14" s="52" t="str">
        <f t="shared" si="4"/>
        <v>10e</v>
      </c>
      <c r="EX14" s="51">
        <f>SUM(P14,V14,AB14,AH14,AN14,AT14,AZ14,BF14,BL14,BR14,BX14,CD14,CJ14,CV14,DB14,DH14,DN14,DS14,EF14,EL14,CP14,DZ14)/BULLETIN!$G$38*100</f>
        <v>0</v>
      </c>
      <c r="EY14" s="52" t="str">
        <f t="shared" si="5"/>
        <v>10e</v>
      </c>
      <c r="EZ14" s="51">
        <f>SUM(Q14,W14,AC14,AI14,AO14,AU14,BA14,BG14,BM14,BS14,BY14,CE14,CK14,CW14,DC14,DI14,DO14,DU14,EG14,EM14,EA14,CQ14)/BULLETIN!$H$38*100</f>
        <v>0</v>
      </c>
      <c r="FA14" s="52" t="str">
        <f t="shared" si="6"/>
        <v>10e</v>
      </c>
      <c r="FB14" s="51">
        <f>SUM(O14:Q14,U14:W14,AA14:AC14,AG14:AI14,AM14:AO14,AS14:AU14,AY14:BA14,BE14:BG14,BK14:BM14,BQ14:BS14,BW14:BY14,CC14:CE14,CI14:CK14,CU14:CW14,DA14:DC14,DM14:DO14,DS14:DU14,EE14:EG14,EK14:EM14,DG14:DI14,CO14:CQ14,DY14:EA14)/BULLETIN!$I$38*100</f>
        <v>0</v>
      </c>
      <c r="FC14" s="52" t="str">
        <f t="shared" si="7"/>
        <v>10e</v>
      </c>
      <c r="FD14" s="51">
        <f>SUM(L14:EM14)/BULLETIN!$J$38*100</f>
        <v>0</v>
      </c>
      <c r="FE14" s="52" t="str">
        <f t="shared" si="8"/>
        <v>10e</v>
      </c>
    </row>
    <row r="15" spans="1:161" ht="15.5" x14ac:dyDescent="0.35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6"/>
      <c r="L15" s="8"/>
      <c r="M15" s="1"/>
      <c r="N15" s="1"/>
      <c r="O15" s="1"/>
      <c r="P15" s="1"/>
      <c r="Q15" s="9"/>
      <c r="R15" s="10"/>
      <c r="S15" s="1"/>
      <c r="T15" s="1"/>
      <c r="U15" s="1"/>
      <c r="V15" s="2"/>
      <c r="W15" s="18"/>
      <c r="X15" s="8"/>
      <c r="Y15" s="1"/>
      <c r="Z15" s="1"/>
      <c r="AA15" s="1"/>
      <c r="AB15" s="1"/>
      <c r="AC15" s="9"/>
      <c r="AD15" s="8"/>
      <c r="AE15" s="1"/>
      <c r="AF15" s="1"/>
      <c r="AG15" s="1"/>
      <c r="AH15" s="1"/>
      <c r="AI15" s="9"/>
      <c r="AJ15" s="10"/>
      <c r="AK15" s="1"/>
      <c r="AL15" s="1"/>
      <c r="AM15" s="1"/>
      <c r="AN15" s="2"/>
      <c r="AO15" s="18"/>
      <c r="AP15" s="8"/>
      <c r="AQ15" s="1"/>
      <c r="AR15" s="1"/>
      <c r="AS15" s="2"/>
      <c r="AT15" s="1"/>
      <c r="AU15" s="9"/>
      <c r="AV15" s="8"/>
      <c r="AW15" s="1"/>
      <c r="AX15" s="1"/>
      <c r="AY15" s="2"/>
      <c r="AZ15" s="1"/>
      <c r="BA15" s="9"/>
      <c r="BB15" s="10"/>
      <c r="BC15" s="1"/>
      <c r="BD15" s="1"/>
      <c r="BE15" s="1"/>
      <c r="BF15" s="2"/>
      <c r="BG15" s="1"/>
      <c r="BH15" s="10"/>
      <c r="BI15" s="1"/>
      <c r="BJ15" s="1"/>
      <c r="BK15" s="2"/>
      <c r="BL15" s="1"/>
      <c r="BM15" s="9"/>
      <c r="BN15" s="10"/>
      <c r="BO15" s="1"/>
      <c r="BP15" s="1"/>
      <c r="BQ15" s="1"/>
      <c r="BR15" s="2"/>
      <c r="BS15" s="18"/>
      <c r="BT15" s="8"/>
      <c r="BU15" s="1"/>
      <c r="BV15" s="1"/>
      <c r="BW15" s="2"/>
      <c r="BX15" s="1"/>
      <c r="BY15" s="9"/>
      <c r="BZ15" s="10"/>
      <c r="CA15" s="1"/>
      <c r="CB15" s="1"/>
      <c r="CC15" s="1"/>
      <c r="CD15" s="2"/>
      <c r="CE15" s="18"/>
      <c r="CF15" s="10"/>
      <c r="CG15" s="1"/>
      <c r="CH15" s="1"/>
      <c r="CI15" s="1"/>
      <c r="CJ15" s="2"/>
      <c r="CK15" s="18"/>
      <c r="CL15" s="10"/>
      <c r="CM15" s="1"/>
      <c r="CN15" s="1"/>
      <c r="CO15" s="1"/>
      <c r="CP15" s="2"/>
      <c r="CQ15" s="18"/>
      <c r="CR15" s="10"/>
      <c r="CS15" s="1"/>
      <c r="CT15" s="1"/>
      <c r="CU15" s="1"/>
      <c r="CV15" s="2"/>
      <c r="CW15" s="18"/>
      <c r="CX15" s="8"/>
      <c r="CY15" s="1"/>
      <c r="CZ15" s="1"/>
      <c r="DA15" s="1"/>
      <c r="DB15" s="2"/>
      <c r="DC15" s="18"/>
      <c r="DD15" s="8"/>
      <c r="DE15" s="1"/>
      <c r="DF15" s="1"/>
      <c r="DG15" s="1"/>
      <c r="DH15" s="1"/>
      <c r="DI15" s="2"/>
      <c r="DJ15" s="60"/>
      <c r="DK15" s="1"/>
      <c r="DL15" s="1"/>
      <c r="DM15" s="1"/>
      <c r="DN15" s="1"/>
      <c r="DO15" s="61"/>
      <c r="DP15" s="10"/>
      <c r="DQ15" s="1"/>
      <c r="DR15" s="1"/>
      <c r="DS15" s="1"/>
      <c r="DT15" s="1"/>
      <c r="DU15" s="61"/>
      <c r="DV15" s="60"/>
      <c r="DW15" s="1"/>
      <c r="DX15" s="1"/>
      <c r="DY15" s="1"/>
      <c r="DZ15" s="1"/>
      <c r="EA15" s="61"/>
      <c r="EB15" s="10"/>
      <c r="EC15" s="1"/>
      <c r="ED15" s="1"/>
      <c r="EE15" s="1"/>
      <c r="EF15" s="1"/>
      <c r="EG15" s="61"/>
      <c r="EH15" s="10"/>
      <c r="EI15" s="1"/>
      <c r="EJ15" s="1"/>
      <c r="EK15" s="1"/>
      <c r="EL15" s="2"/>
      <c r="EM15" s="1"/>
      <c r="EN15" s="51">
        <f>SUM(L15,R15,X15,AD15,AJ15,AP15,AV15,BB15,BH15,BN15,BT15,BZ15,CF15,CL15,CR15,CX15,DD15,DJ15,DP15,DV15,EB15,EH15)/BULLETIN!$B$38*100</f>
        <v>0</v>
      </c>
      <c r="EO15" s="52" t="str">
        <f t="shared" si="0"/>
        <v>10e</v>
      </c>
      <c r="EP15" s="51">
        <f>SUM(M15,S15,Y15,AE15,AK15,AQ15,AW15,BC15,BI15,BO15,BU15,CA15,CG15,CS15,CY15,DE15,DK15,DQ15,EC15,EI15,CM15,DW15)/BULLETIN!$C$38*100</f>
        <v>0</v>
      </c>
      <c r="EQ15" s="52" t="str">
        <f t="shared" si="1"/>
        <v>10e</v>
      </c>
      <c r="ER15" s="51">
        <f>SUM(N15,T15,Z15,AF15,AL15,AR15,AX15,BD15,BJ15,BP15,BV15,CB15,CH15,CT15,CZ15,DF15,DL15,DR15,ED15,EJ15,CN15,DX15)/BULLETIN!$D$38*100</f>
        <v>0</v>
      </c>
      <c r="ES15" s="52" t="str">
        <f t="shared" si="2"/>
        <v>10e</v>
      </c>
      <c r="ET15" s="51">
        <f>SUM(L15:N15,R15:T15,X15:Z15,AD15:AF15,AJ15:AL15,AP15:AR15,AV15:AX15,BB15:BD15,BH15:BJ15,BN15:BP15,BT15:BV15,BZ15:CB15,CF15:CH15,CR15:CT15,CX15:CZ15,DD15:DF15,DJ15:DL15,DP15:DR15,EB15:ED15,EH15:EJ15,CL15:CN15,DV15:DX15)/BULLETIN!$E$38*100</f>
        <v>0</v>
      </c>
      <c r="EU15" s="52" t="str">
        <f t="shared" si="3"/>
        <v>10e</v>
      </c>
      <c r="EV15" s="51">
        <f>SUM(O15,U15,AA15,AG15,AM15,AS15,AY15,BE15,BK15,BQ15,BW15,CC15,CI15,CU15,DA15,DG15,DM15,DS15,EE15,EK15,CO15,DY15)/BULLETIN!$F$38*100</f>
        <v>0</v>
      </c>
      <c r="EW15" s="52" t="str">
        <f t="shared" si="4"/>
        <v>10e</v>
      </c>
      <c r="EX15" s="51">
        <f>SUM(P15,V15,AB15,AH15,AN15,AT15,AZ15,BF15,BL15,BR15,BX15,CD15,CJ15,CV15,DB15,DH15,DN15,DS15,EF15,EL15,CP15,DZ15)/BULLETIN!$G$38*100</f>
        <v>0</v>
      </c>
      <c r="EY15" s="52" t="str">
        <f t="shared" si="5"/>
        <v>10e</v>
      </c>
      <c r="EZ15" s="51">
        <f>SUM(Q15,W15,AC15,AI15,AO15,AU15,BA15,BG15,BM15,BS15,BY15,CE15,CK15,CW15,DC15,DI15,DO15,DU15,EG15,EM15,EA15,CQ15)/BULLETIN!$H$38*100</f>
        <v>0</v>
      </c>
      <c r="FA15" s="52" t="str">
        <f t="shared" si="6"/>
        <v>10e</v>
      </c>
      <c r="FB15" s="51">
        <f>SUM(O15:Q15,U15:W15,AA15:AC15,AG15:AI15,AM15:AO15,AS15:AU15,AY15:BA15,BE15:BG15,BK15:BM15,BQ15:BS15,BW15:BY15,CC15:CE15,CI15:CK15,CU15:CW15,DA15:DC15,DM15:DO15,DS15:DU15,EE15:EG15,EK15:EM15,DG15:DI15,CO15:CQ15,DY15:EA15)/BULLETIN!$I$38*100</f>
        <v>0</v>
      </c>
      <c r="FC15" s="52" t="str">
        <f t="shared" si="7"/>
        <v>10e</v>
      </c>
      <c r="FD15" s="51">
        <f>SUM(L15:EM15)/BULLETIN!$J$38*100</f>
        <v>0</v>
      </c>
      <c r="FE15" s="52" t="str">
        <f t="shared" si="8"/>
        <v>10e</v>
      </c>
    </row>
    <row r="16" spans="1:161" ht="15.5" x14ac:dyDescent="0.35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6"/>
      <c r="L16" s="8"/>
      <c r="M16" s="1"/>
      <c r="N16" s="1"/>
      <c r="O16" s="1"/>
      <c r="P16" s="1"/>
      <c r="Q16" s="9"/>
      <c r="R16" s="10"/>
      <c r="S16" s="1"/>
      <c r="T16" s="1"/>
      <c r="U16" s="1"/>
      <c r="V16" s="2"/>
      <c r="W16" s="18"/>
      <c r="X16" s="8"/>
      <c r="Y16" s="1"/>
      <c r="Z16" s="1"/>
      <c r="AA16" s="1"/>
      <c r="AB16" s="1"/>
      <c r="AC16" s="9"/>
      <c r="AD16" s="8"/>
      <c r="AE16" s="1"/>
      <c r="AF16" s="1"/>
      <c r="AG16" s="1"/>
      <c r="AH16" s="1"/>
      <c r="AI16" s="9"/>
      <c r="AJ16" s="10"/>
      <c r="AK16" s="1"/>
      <c r="AL16" s="1"/>
      <c r="AM16" s="1"/>
      <c r="AN16" s="2"/>
      <c r="AO16" s="18"/>
      <c r="AP16" s="8"/>
      <c r="AQ16" s="1"/>
      <c r="AR16" s="1"/>
      <c r="AS16" s="2"/>
      <c r="AT16" s="1"/>
      <c r="AU16" s="9"/>
      <c r="AV16" s="8"/>
      <c r="AW16" s="1"/>
      <c r="AX16" s="1"/>
      <c r="AY16" s="2"/>
      <c r="AZ16" s="1"/>
      <c r="BA16" s="9"/>
      <c r="BB16" s="10"/>
      <c r="BC16" s="1"/>
      <c r="BD16" s="1"/>
      <c r="BE16" s="1"/>
      <c r="BF16" s="2"/>
      <c r="BG16" s="1"/>
      <c r="BH16" s="10"/>
      <c r="BI16" s="1"/>
      <c r="BJ16" s="1"/>
      <c r="BK16" s="2"/>
      <c r="BL16" s="1"/>
      <c r="BM16" s="9"/>
      <c r="BN16" s="10"/>
      <c r="BO16" s="1"/>
      <c r="BP16" s="1"/>
      <c r="BQ16" s="1"/>
      <c r="BR16" s="2"/>
      <c r="BS16" s="18"/>
      <c r="BT16" s="8"/>
      <c r="BU16" s="1"/>
      <c r="BV16" s="1"/>
      <c r="BW16" s="2"/>
      <c r="BX16" s="1"/>
      <c r="BY16" s="9"/>
      <c r="BZ16" s="10"/>
      <c r="CA16" s="1"/>
      <c r="CB16" s="1"/>
      <c r="CC16" s="1"/>
      <c r="CD16" s="2"/>
      <c r="CE16" s="18"/>
      <c r="CF16" s="10"/>
      <c r="CG16" s="1"/>
      <c r="CH16" s="1"/>
      <c r="CI16" s="1"/>
      <c r="CJ16" s="2"/>
      <c r="CK16" s="18"/>
      <c r="CL16" s="10"/>
      <c r="CM16" s="1"/>
      <c r="CN16" s="1"/>
      <c r="CO16" s="1"/>
      <c r="CP16" s="2"/>
      <c r="CQ16" s="18"/>
      <c r="CR16" s="10"/>
      <c r="CS16" s="1"/>
      <c r="CT16" s="1"/>
      <c r="CU16" s="1"/>
      <c r="CV16" s="2"/>
      <c r="CW16" s="18"/>
      <c r="CX16" s="8"/>
      <c r="CY16" s="1"/>
      <c r="CZ16" s="1"/>
      <c r="DA16" s="1"/>
      <c r="DB16" s="2"/>
      <c r="DC16" s="18"/>
      <c r="DD16" s="8"/>
      <c r="DE16" s="1"/>
      <c r="DF16" s="1"/>
      <c r="DG16" s="1"/>
      <c r="DH16" s="1"/>
      <c r="DI16" s="2"/>
      <c r="DJ16" s="60"/>
      <c r="DK16" s="1"/>
      <c r="DL16" s="1"/>
      <c r="DM16" s="1"/>
      <c r="DN16" s="1"/>
      <c r="DO16" s="61"/>
      <c r="DP16" s="10"/>
      <c r="DQ16" s="1"/>
      <c r="DR16" s="1"/>
      <c r="DS16" s="1"/>
      <c r="DT16" s="1"/>
      <c r="DU16" s="61"/>
      <c r="DV16" s="60"/>
      <c r="DW16" s="1"/>
      <c r="DX16" s="1"/>
      <c r="DY16" s="1"/>
      <c r="DZ16" s="1"/>
      <c r="EA16" s="61"/>
      <c r="EB16" s="10"/>
      <c r="EC16" s="1"/>
      <c r="ED16" s="1"/>
      <c r="EE16" s="1"/>
      <c r="EF16" s="1"/>
      <c r="EG16" s="61"/>
      <c r="EH16" s="10"/>
      <c r="EI16" s="1"/>
      <c r="EJ16" s="1"/>
      <c r="EK16" s="1"/>
      <c r="EL16" s="2"/>
      <c r="EM16" s="1"/>
      <c r="EN16" s="51">
        <f>SUM(L16,R16,X16,AD16,AJ16,AP16,AV16,BB16,BH16,BN16,BT16,BZ16,CF16,CL16,CR16,CX16,DD16,DJ16,DP16,DV16,EB16,EH16)/BULLETIN!$B$38*100</f>
        <v>0</v>
      </c>
      <c r="EO16" s="52" t="str">
        <f t="shared" si="0"/>
        <v>10e</v>
      </c>
      <c r="EP16" s="51">
        <f>SUM(M16,S16,Y16,AE16,AK16,AQ16,AW16,BC16,BI16,BO16,BU16,CA16,CG16,CS16,CY16,DE16,DK16,DQ16,EC16,EI16,CM16,DW16)/BULLETIN!$C$38*100</f>
        <v>0</v>
      </c>
      <c r="EQ16" s="52" t="str">
        <f t="shared" si="1"/>
        <v>10e</v>
      </c>
      <c r="ER16" s="51">
        <f>SUM(N16,T16,Z16,AF16,AL16,AR16,AX16,BD16,BJ16,BP16,BV16,CB16,CH16,CT16,CZ16,DF16,DL16,DR16,ED16,EJ16,CN16,DX16)/BULLETIN!$D$38*100</f>
        <v>0</v>
      </c>
      <c r="ES16" s="52" t="str">
        <f t="shared" si="2"/>
        <v>10e</v>
      </c>
      <c r="ET16" s="51">
        <f>SUM(L16:N16,R16:T16,X16:Z16,AD16:AF16,AJ16:AL16,AP16:AR16,AV16:AX16,BB16:BD16,BH16:BJ16,BN16:BP16,BT16:BV16,BZ16:CB16,CF16:CH16,CR16:CT16,CX16:CZ16,DD16:DF16,DJ16:DL16,DP16:DR16,EB16:ED16,EH16:EJ16,CL16:CN16,DV16:DX16)/BULLETIN!$E$38*100</f>
        <v>0</v>
      </c>
      <c r="EU16" s="52" t="str">
        <f t="shared" si="3"/>
        <v>10e</v>
      </c>
      <c r="EV16" s="51">
        <f>SUM(O16,U16,AA16,AG16,AM16,AS16,AY16,BE16,BK16,BQ16,BW16,CC16,CI16,CU16,DA16,DG16,DM16,DS16,EE16,EK16,CO16,DY16)/BULLETIN!$F$38*100</f>
        <v>0</v>
      </c>
      <c r="EW16" s="52" t="str">
        <f t="shared" si="4"/>
        <v>10e</v>
      </c>
      <c r="EX16" s="51">
        <f>SUM(P16,V16,AB16,AH16,AN16,AT16,AZ16,BF16,BL16,BR16,BX16,CD16,CJ16,CV16,DB16,DH16,DN16,DS16,EF16,EL16,CP16,DZ16)/BULLETIN!$G$38*100</f>
        <v>0</v>
      </c>
      <c r="EY16" s="52" t="str">
        <f t="shared" si="5"/>
        <v>10e</v>
      </c>
      <c r="EZ16" s="51">
        <f>SUM(Q16,W16,AC16,AI16,AO16,AU16,BA16,BG16,BM16,BS16,BY16,CE16,CK16,CW16,DC16,DI16,DO16,DU16,EG16,EM16,EA16,CQ16)/BULLETIN!$H$38*100</f>
        <v>0</v>
      </c>
      <c r="FA16" s="52" t="str">
        <f t="shared" si="6"/>
        <v>10e</v>
      </c>
      <c r="FB16" s="51">
        <f>SUM(O16:Q16,U16:W16,AA16:AC16,AG16:AI16,AM16:AO16,AS16:AU16,AY16:BA16,BE16:BG16,BK16:BM16,BQ16:BS16,BW16:BY16,CC16:CE16,CI16:CK16,CU16:CW16,DA16:DC16,DM16:DO16,DS16:DU16,EE16:EG16,EK16:EM16,DG16:DI16,CO16:CQ16,DY16:EA16)/BULLETIN!$I$38*100</f>
        <v>0</v>
      </c>
      <c r="FC16" s="52" t="str">
        <f t="shared" si="7"/>
        <v>10e</v>
      </c>
      <c r="FD16" s="51">
        <f>SUM(L16:EM16)/BULLETIN!$J$38*100</f>
        <v>0</v>
      </c>
      <c r="FE16" s="52" t="str">
        <f t="shared" si="8"/>
        <v>10e</v>
      </c>
    </row>
    <row r="17" spans="1:161" ht="15.5" x14ac:dyDescent="0.35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6"/>
      <c r="L17" s="8"/>
      <c r="M17" s="1"/>
      <c r="N17" s="1"/>
      <c r="O17" s="1"/>
      <c r="P17" s="1"/>
      <c r="Q17" s="9"/>
      <c r="R17" s="10"/>
      <c r="S17" s="1"/>
      <c r="T17" s="1"/>
      <c r="U17" s="1"/>
      <c r="V17" s="2"/>
      <c r="W17" s="18"/>
      <c r="X17" s="8"/>
      <c r="Y17" s="1"/>
      <c r="Z17" s="1"/>
      <c r="AA17" s="1"/>
      <c r="AB17" s="1"/>
      <c r="AC17" s="9"/>
      <c r="AD17" s="8"/>
      <c r="AE17" s="1"/>
      <c r="AF17" s="1"/>
      <c r="AG17" s="1"/>
      <c r="AH17" s="1"/>
      <c r="AI17" s="9"/>
      <c r="AJ17" s="10"/>
      <c r="AK17" s="1"/>
      <c r="AL17" s="1"/>
      <c r="AM17" s="1"/>
      <c r="AN17" s="2"/>
      <c r="AO17" s="18"/>
      <c r="AP17" s="8"/>
      <c r="AQ17" s="1"/>
      <c r="AR17" s="1"/>
      <c r="AS17" s="2"/>
      <c r="AT17" s="1"/>
      <c r="AU17" s="9"/>
      <c r="AV17" s="8"/>
      <c r="AW17" s="1"/>
      <c r="AX17" s="1"/>
      <c r="AY17" s="2"/>
      <c r="AZ17" s="1"/>
      <c r="BA17" s="9"/>
      <c r="BB17" s="10"/>
      <c r="BC17" s="1"/>
      <c r="BD17" s="1"/>
      <c r="BE17" s="1"/>
      <c r="BF17" s="2"/>
      <c r="BG17" s="1"/>
      <c r="BH17" s="10"/>
      <c r="BI17" s="1"/>
      <c r="BJ17" s="1"/>
      <c r="BK17" s="2"/>
      <c r="BL17" s="1"/>
      <c r="BM17" s="9"/>
      <c r="BN17" s="10"/>
      <c r="BO17" s="1"/>
      <c r="BP17" s="1"/>
      <c r="BQ17" s="1"/>
      <c r="BR17" s="2"/>
      <c r="BS17" s="18"/>
      <c r="BT17" s="8"/>
      <c r="BU17" s="1"/>
      <c r="BV17" s="1"/>
      <c r="BW17" s="2"/>
      <c r="BX17" s="1"/>
      <c r="BY17" s="9"/>
      <c r="BZ17" s="10"/>
      <c r="CA17" s="1"/>
      <c r="CB17" s="1"/>
      <c r="CC17" s="1"/>
      <c r="CD17" s="2"/>
      <c r="CE17" s="18"/>
      <c r="CF17" s="10"/>
      <c r="CG17" s="1"/>
      <c r="CH17" s="1"/>
      <c r="CI17" s="1"/>
      <c r="CJ17" s="2"/>
      <c r="CK17" s="18"/>
      <c r="CL17" s="10"/>
      <c r="CM17" s="1"/>
      <c r="CN17" s="1"/>
      <c r="CO17" s="1"/>
      <c r="CP17" s="2"/>
      <c r="CQ17" s="18"/>
      <c r="CR17" s="10"/>
      <c r="CS17" s="1"/>
      <c r="CT17" s="1"/>
      <c r="CU17" s="1"/>
      <c r="CV17" s="2"/>
      <c r="CW17" s="18"/>
      <c r="CX17" s="8"/>
      <c r="CY17" s="1"/>
      <c r="CZ17" s="1"/>
      <c r="DA17" s="1"/>
      <c r="DB17" s="2"/>
      <c r="DC17" s="18"/>
      <c r="DD17" s="8"/>
      <c r="DE17" s="1"/>
      <c r="DF17" s="1"/>
      <c r="DG17" s="1"/>
      <c r="DH17" s="1"/>
      <c r="DI17" s="2"/>
      <c r="DJ17" s="60"/>
      <c r="DK17" s="1"/>
      <c r="DL17" s="1"/>
      <c r="DM17" s="1"/>
      <c r="DN17" s="1"/>
      <c r="DO17" s="61"/>
      <c r="DP17" s="10"/>
      <c r="DQ17" s="1"/>
      <c r="DR17" s="1"/>
      <c r="DS17" s="1"/>
      <c r="DT17" s="1"/>
      <c r="DU17" s="61"/>
      <c r="DV17" s="60"/>
      <c r="DW17" s="1"/>
      <c r="DX17" s="1"/>
      <c r="DY17" s="1"/>
      <c r="DZ17" s="1"/>
      <c r="EA17" s="61"/>
      <c r="EB17" s="10"/>
      <c r="EC17" s="1"/>
      <c r="ED17" s="1"/>
      <c r="EE17" s="1"/>
      <c r="EF17" s="1"/>
      <c r="EG17" s="61"/>
      <c r="EH17" s="10"/>
      <c r="EI17" s="1"/>
      <c r="EJ17" s="1"/>
      <c r="EK17" s="1"/>
      <c r="EL17" s="2"/>
      <c r="EM17" s="1"/>
      <c r="EN17" s="51">
        <f>SUM(L17,R17,X17,AD17,AJ17,AP17,AV17,BB17,BH17,BN17,BT17,BZ17,CF17,CL17,CR17,CX17,DD17,DJ17,DP17,DV17,EB17,EH17)/BULLETIN!$B$38*100</f>
        <v>0</v>
      </c>
      <c r="EO17" s="52" t="str">
        <f t="shared" si="0"/>
        <v>10e</v>
      </c>
      <c r="EP17" s="51">
        <f>SUM(M17,S17,Y17,AE17,AK17,AQ17,AW17,BC17,BI17,BO17,BU17,CA17,CG17,CS17,CY17,DE17,DK17,DQ17,EC17,EI17,CM17,DW17)/BULLETIN!$C$38*100</f>
        <v>0</v>
      </c>
      <c r="EQ17" s="52" t="str">
        <f t="shared" si="1"/>
        <v>10e</v>
      </c>
      <c r="ER17" s="51">
        <f>SUM(N17,T17,Z17,AF17,AL17,AR17,AX17,BD17,BJ17,BP17,BV17,CB17,CH17,CT17,CZ17,DF17,DL17,DR17,ED17,EJ17,CN17,DX17)/BULLETIN!$D$38*100</f>
        <v>0</v>
      </c>
      <c r="ES17" s="52" t="str">
        <f t="shared" si="2"/>
        <v>10e</v>
      </c>
      <c r="ET17" s="51">
        <f>SUM(L17:N17,R17:T17,X17:Z17,AD17:AF17,AJ17:AL17,AP17:AR17,AV17:AX17,BB17:BD17,BH17:BJ17,BN17:BP17,BT17:BV17,BZ17:CB17,CF17:CH17,CR17:CT17,CX17:CZ17,DD17:DF17,DJ17:DL17,DP17:DR17,EB17:ED17,EH17:EJ17,CL17:CN17,DV17:DX17)/BULLETIN!$E$38*100</f>
        <v>0</v>
      </c>
      <c r="EU17" s="52" t="str">
        <f t="shared" si="3"/>
        <v>10e</v>
      </c>
      <c r="EV17" s="51">
        <f>SUM(O17,U17,AA17,AG17,AM17,AS17,AY17,BE17,BK17,BQ17,BW17,CC17,CI17,CU17,DA17,DG17,DM17,DS17,EE17,EK17,CO17,DY17)/BULLETIN!$F$38*100</f>
        <v>0</v>
      </c>
      <c r="EW17" s="52" t="str">
        <f t="shared" si="4"/>
        <v>10e</v>
      </c>
      <c r="EX17" s="51">
        <f>SUM(P17,V17,AB17,AH17,AN17,AT17,AZ17,BF17,BL17,BR17,BX17,CD17,CJ17,CV17,DB17,DH17,DN17,DS17,EF17,EL17,CP17,DZ17)/BULLETIN!$G$38*100</f>
        <v>0</v>
      </c>
      <c r="EY17" s="52" t="str">
        <f t="shared" si="5"/>
        <v>10e</v>
      </c>
      <c r="EZ17" s="51">
        <f>SUM(Q17,W17,AC17,AI17,AO17,AU17,BA17,BG17,BM17,BS17,BY17,CE17,CK17,CW17,DC17,DI17,DO17,DU17,EG17,EM17,EA17,CQ17)/BULLETIN!$H$38*100</f>
        <v>0</v>
      </c>
      <c r="FA17" s="52" t="str">
        <f t="shared" si="6"/>
        <v>10e</v>
      </c>
      <c r="FB17" s="51">
        <f>SUM(O17:Q17,U17:W17,AA17:AC17,AG17:AI17,AM17:AO17,AS17:AU17,AY17:BA17,BE17:BG17,BK17:BM17,BQ17:BS17,BW17:BY17,CC17:CE17,CI17:CK17,CU17:CW17,DA17:DC17,DM17:DO17,DS17:DU17,EE17:EG17,EK17:EM17,DG17:DI17,CO17:CQ17,DY17:EA17)/BULLETIN!$I$38*100</f>
        <v>0</v>
      </c>
      <c r="FC17" s="52" t="str">
        <f t="shared" si="7"/>
        <v>10e</v>
      </c>
      <c r="FD17" s="51">
        <f>SUM(L17:EM17)/BULLETIN!$J$38*100</f>
        <v>0</v>
      </c>
      <c r="FE17" s="52" t="str">
        <f t="shared" si="8"/>
        <v>10e</v>
      </c>
    </row>
    <row r="18" spans="1:161" ht="15.5" x14ac:dyDescent="0.35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6"/>
      <c r="L18" s="8"/>
      <c r="M18" s="1"/>
      <c r="N18" s="1"/>
      <c r="O18" s="1"/>
      <c r="P18" s="1"/>
      <c r="Q18" s="9"/>
      <c r="R18" s="10"/>
      <c r="S18" s="1"/>
      <c r="T18" s="1"/>
      <c r="U18" s="1"/>
      <c r="V18" s="2"/>
      <c r="W18" s="18"/>
      <c r="X18" s="8"/>
      <c r="Y18" s="1"/>
      <c r="Z18" s="1"/>
      <c r="AA18" s="1"/>
      <c r="AB18" s="1"/>
      <c r="AC18" s="9"/>
      <c r="AD18" s="8"/>
      <c r="AE18" s="1"/>
      <c r="AF18" s="1"/>
      <c r="AG18" s="1"/>
      <c r="AH18" s="1"/>
      <c r="AI18" s="9"/>
      <c r="AJ18" s="10"/>
      <c r="AK18" s="1"/>
      <c r="AL18" s="1"/>
      <c r="AM18" s="1"/>
      <c r="AN18" s="2"/>
      <c r="AO18" s="18"/>
      <c r="AP18" s="8"/>
      <c r="AQ18" s="1"/>
      <c r="AR18" s="1"/>
      <c r="AS18" s="2"/>
      <c r="AT18" s="1"/>
      <c r="AU18" s="9"/>
      <c r="AV18" s="8"/>
      <c r="AW18" s="1"/>
      <c r="AX18" s="1"/>
      <c r="AY18" s="2"/>
      <c r="AZ18" s="1"/>
      <c r="BA18" s="9"/>
      <c r="BB18" s="10"/>
      <c r="BC18" s="1"/>
      <c r="BD18" s="1"/>
      <c r="BE18" s="1"/>
      <c r="BF18" s="2"/>
      <c r="BG18" s="1"/>
      <c r="BH18" s="10"/>
      <c r="BI18" s="1"/>
      <c r="BJ18" s="1"/>
      <c r="BK18" s="2"/>
      <c r="BL18" s="1"/>
      <c r="BM18" s="9"/>
      <c r="BN18" s="10"/>
      <c r="BO18" s="1"/>
      <c r="BP18" s="1"/>
      <c r="BQ18" s="1"/>
      <c r="BR18" s="2"/>
      <c r="BS18" s="18"/>
      <c r="BT18" s="8"/>
      <c r="BU18" s="1"/>
      <c r="BV18" s="1"/>
      <c r="BW18" s="2"/>
      <c r="BX18" s="1"/>
      <c r="BY18" s="9"/>
      <c r="BZ18" s="10"/>
      <c r="CA18" s="1"/>
      <c r="CB18" s="1"/>
      <c r="CC18" s="1"/>
      <c r="CD18" s="2"/>
      <c r="CE18" s="18"/>
      <c r="CF18" s="10"/>
      <c r="CG18" s="1"/>
      <c r="CH18" s="1"/>
      <c r="CI18" s="1"/>
      <c r="CJ18" s="2"/>
      <c r="CK18" s="18"/>
      <c r="CL18" s="10"/>
      <c r="CM18" s="1"/>
      <c r="CN18" s="1"/>
      <c r="CO18" s="1"/>
      <c r="CP18" s="2"/>
      <c r="CQ18" s="18"/>
      <c r="CR18" s="10"/>
      <c r="CS18" s="1"/>
      <c r="CT18" s="1"/>
      <c r="CU18" s="1"/>
      <c r="CV18" s="2"/>
      <c r="CW18" s="18"/>
      <c r="CX18" s="8"/>
      <c r="CY18" s="1"/>
      <c r="CZ18" s="1"/>
      <c r="DA18" s="1"/>
      <c r="DB18" s="2"/>
      <c r="DC18" s="18"/>
      <c r="DD18" s="8"/>
      <c r="DE18" s="1"/>
      <c r="DF18" s="1"/>
      <c r="DG18" s="1"/>
      <c r="DH18" s="1"/>
      <c r="DI18" s="2"/>
      <c r="DJ18" s="60"/>
      <c r="DK18" s="1"/>
      <c r="DL18" s="1"/>
      <c r="DM18" s="1"/>
      <c r="DN18" s="1"/>
      <c r="DO18" s="61"/>
      <c r="DP18" s="10"/>
      <c r="DQ18" s="1"/>
      <c r="DR18" s="1"/>
      <c r="DS18" s="1"/>
      <c r="DT18" s="1"/>
      <c r="DU18" s="61"/>
      <c r="DV18" s="60"/>
      <c r="DW18" s="1"/>
      <c r="DX18" s="1"/>
      <c r="DY18" s="1"/>
      <c r="DZ18" s="1"/>
      <c r="EA18" s="61"/>
      <c r="EB18" s="10"/>
      <c r="EC18" s="1"/>
      <c r="ED18" s="1"/>
      <c r="EE18" s="1"/>
      <c r="EF18" s="1"/>
      <c r="EG18" s="61"/>
      <c r="EH18" s="10"/>
      <c r="EI18" s="1"/>
      <c r="EJ18" s="1"/>
      <c r="EK18" s="1"/>
      <c r="EL18" s="2"/>
      <c r="EM18" s="1"/>
      <c r="EN18" s="51">
        <f>SUM(L18,R18,X18,AD18,AJ18,AP18,AV18,BB18,BH18,BN18,BT18,BZ18,CF18,CL18,CR18,CX18,DD18,DJ18,DP18,DV18,EB18,EH18)/BULLETIN!$B$38*100</f>
        <v>0</v>
      </c>
      <c r="EO18" s="52" t="str">
        <f t="shared" si="0"/>
        <v>10e</v>
      </c>
      <c r="EP18" s="51">
        <f>SUM(M18,S18,Y18,AE18,AK18,AQ18,AW18,BC18,BI18,BO18,BU18,CA18,CG18,CS18,CY18,DE18,DK18,DQ18,EC18,EI18,CM18,DW18)/BULLETIN!$C$38*100</f>
        <v>0</v>
      </c>
      <c r="EQ18" s="52" t="str">
        <f t="shared" si="1"/>
        <v>10e</v>
      </c>
      <c r="ER18" s="51">
        <f>SUM(N18,T18,Z18,AF18,AL18,AR18,AX18,BD18,BJ18,BP18,BV18,CB18,CH18,CT18,CZ18,DF18,DL18,DR18,ED18,EJ18,CN18,DX18)/BULLETIN!$D$38*100</f>
        <v>0</v>
      </c>
      <c r="ES18" s="52" t="str">
        <f t="shared" si="2"/>
        <v>10e</v>
      </c>
      <c r="ET18" s="51">
        <f>SUM(L18:N18,R18:T18,X18:Z18,AD18:AF18,AJ18:AL18,AP18:AR18,AV18:AX18,BB18:BD18,BH18:BJ18,BN18:BP18,BT18:BV18,BZ18:CB18,CF18:CH18,CR18:CT18,CX18:CZ18,DD18:DF18,DJ18:DL18,DP18:DR18,EB18:ED18,EH18:EJ18,CL18:CN18,DV18:DX18)/BULLETIN!$E$38*100</f>
        <v>0</v>
      </c>
      <c r="EU18" s="52" t="str">
        <f t="shared" si="3"/>
        <v>10e</v>
      </c>
      <c r="EV18" s="51">
        <f>SUM(O18,U18,AA18,AG18,AM18,AS18,AY18,BE18,BK18,BQ18,BW18,CC18,CI18,CU18,DA18,DG18,DM18,DS18,EE18,EK18,CO18,DY18)/BULLETIN!$F$38*100</f>
        <v>0</v>
      </c>
      <c r="EW18" s="52" t="str">
        <f t="shared" si="4"/>
        <v>10e</v>
      </c>
      <c r="EX18" s="51">
        <f>SUM(P18,V18,AB18,AH18,AN18,AT18,AZ18,BF18,BL18,BR18,BX18,CD18,CJ18,CV18,DB18,DH18,DN18,DS18,EF18,EL18,CP18,DZ18)/BULLETIN!$G$38*100</f>
        <v>0</v>
      </c>
      <c r="EY18" s="52" t="str">
        <f t="shared" si="5"/>
        <v>10e</v>
      </c>
      <c r="EZ18" s="51">
        <f>SUM(Q18,W18,AC18,AI18,AO18,AU18,BA18,BG18,BM18,BS18,BY18,CE18,CK18,CW18,DC18,DI18,DO18,DU18,EG18,EM18,EA18,CQ18)/BULLETIN!$H$38*100</f>
        <v>0</v>
      </c>
      <c r="FA18" s="52" t="str">
        <f t="shared" si="6"/>
        <v>10e</v>
      </c>
      <c r="FB18" s="51">
        <f>SUM(O18:Q18,U18:W18,AA18:AC18,AG18:AI18,AM18:AO18,AS18:AU18,AY18:BA18,BE18:BG18,BK18:BM18,BQ18:BS18,BW18:BY18,CC18:CE18,CI18:CK18,CU18:CW18,DA18:DC18,DM18:DO18,DS18:DU18,EE18:EG18,EK18:EM18,DG18:DI18,CO18:CQ18,DY18:EA18)/BULLETIN!$I$38*100</f>
        <v>0</v>
      </c>
      <c r="FC18" s="52" t="str">
        <f t="shared" si="7"/>
        <v>10e</v>
      </c>
      <c r="FD18" s="51">
        <f>SUM(L18:EM18)/BULLETIN!$J$38*100</f>
        <v>0</v>
      </c>
      <c r="FE18" s="52" t="str">
        <f t="shared" si="8"/>
        <v>10e</v>
      </c>
    </row>
    <row r="19" spans="1:161" ht="15.5" x14ac:dyDescent="0.35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6"/>
      <c r="L19" s="8"/>
      <c r="M19" s="1"/>
      <c r="N19" s="1"/>
      <c r="O19" s="1"/>
      <c r="P19" s="1"/>
      <c r="Q19" s="9"/>
      <c r="R19" s="10"/>
      <c r="S19" s="1"/>
      <c r="T19" s="1"/>
      <c r="U19" s="1"/>
      <c r="V19" s="2"/>
      <c r="W19" s="18"/>
      <c r="X19" s="8"/>
      <c r="Y19" s="1"/>
      <c r="Z19" s="1"/>
      <c r="AA19" s="1"/>
      <c r="AB19" s="1"/>
      <c r="AC19" s="9"/>
      <c r="AD19" s="8"/>
      <c r="AE19" s="1"/>
      <c r="AF19" s="1"/>
      <c r="AG19" s="1"/>
      <c r="AH19" s="1"/>
      <c r="AI19" s="9"/>
      <c r="AJ19" s="10"/>
      <c r="AK19" s="1"/>
      <c r="AL19" s="1"/>
      <c r="AM19" s="1"/>
      <c r="AN19" s="2"/>
      <c r="AO19" s="18"/>
      <c r="AP19" s="8"/>
      <c r="AQ19" s="1"/>
      <c r="AR19" s="1"/>
      <c r="AS19" s="2"/>
      <c r="AT19" s="1"/>
      <c r="AU19" s="9"/>
      <c r="AV19" s="8"/>
      <c r="AW19" s="1"/>
      <c r="AX19" s="1"/>
      <c r="AY19" s="2"/>
      <c r="AZ19" s="1"/>
      <c r="BA19" s="9"/>
      <c r="BB19" s="10"/>
      <c r="BC19" s="1"/>
      <c r="BD19" s="1"/>
      <c r="BE19" s="1"/>
      <c r="BF19" s="2"/>
      <c r="BG19" s="1"/>
      <c r="BH19" s="10"/>
      <c r="BI19" s="1"/>
      <c r="BJ19" s="1"/>
      <c r="BK19" s="2"/>
      <c r="BL19" s="1"/>
      <c r="BM19" s="9"/>
      <c r="BN19" s="10"/>
      <c r="BO19" s="1"/>
      <c r="BP19" s="1"/>
      <c r="BQ19" s="1"/>
      <c r="BR19" s="2"/>
      <c r="BS19" s="18"/>
      <c r="BT19" s="8"/>
      <c r="BU19" s="1"/>
      <c r="BV19" s="1"/>
      <c r="BW19" s="2"/>
      <c r="BX19" s="1"/>
      <c r="BY19" s="9"/>
      <c r="BZ19" s="10"/>
      <c r="CA19" s="1"/>
      <c r="CB19" s="1"/>
      <c r="CC19" s="1"/>
      <c r="CD19" s="2"/>
      <c r="CE19" s="18"/>
      <c r="CF19" s="10"/>
      <c r="CG19" s="1"/>
      <c r="CH19" s="1"/>
      <c r="CI19" s="1"/>
      <c r="CJ19" s="2"/>
      <c r="CK19" s="18"/>
      <c r="CL19" s="10"/>
      <c r="CM19" s="1"/>
      <c r="CN19" s="1"/>
      <c r="CO19" s="1"/>
      <c r="CP19" s="2"/>
      <c r="CQ19" s="18"/>
      <c r="CR19" s="10"/>
      <c r="CS19" s="1"/>
      <c r="CT19" s="1"/>
      <c r="CU19" s="1"/>
      <c r="CV19" s="2"/>
      <c r="CW19" s="18"/>
      <c r="CX19" s="8"/>
      <c r="CY19" s="1"/>
      <c r="CZ19" s="1"/>
      <c r="DA19" s="1"/>
      <c r="DB19" s="2"/>
      <c r="DC19" s="18"/>
      <c r="DD19" s="8"/>
      <c r="DE19" s="1"/>
      <c r="DF19" s="1"/>
      <c r="DG19" s="1"/>
      <c r="DH19" s="1"/>
      <c r="DI19" s="2"/>
      <c r="DJ19" s="60"/>
      <c r="DK19" s="1"/>
      <c r="DL19" s="1"/>
      <c r="DM19" s="1"/>
      <c r="DN19" s="1"/>
      <c r="DO19" s="61"/>
      <c r="DP19" s="10"/>
      <c r="DQ19" s="1"/>
      <c r="DR19" s="1"/>
      <c r="DS19" s="1"/>
      <c r="DT19" s="1"/>
      <c r="DU19" s="61"/>
      <c r="DV19" s="60"/>
      <c r="DW19" s="1"/>
      <c r="DX19" s="1"/>
      <c r="DY19" s="1"/>
      <c r="DZ19" s="1"/>
      <c r="EA19" s="61"/>
      <c r="EB19" s="10"/>
      <c r="EC19" s="1"/>
      <c r="ED19" s="1"/>
      <c r="EE19" s="1"/>
      <c r="EF19" s="1"/>
      <c r="EG19" s="61"/>
      <c r="EH19" s="10"/>
      <c r="EI19" s="1"/>
      <c r="EJ19" s="1"/>
      <c r="EK19" s="1"/>
      <c r="EL19" s="2"/>
      <c r="EM19" s="1"/>
      <c r="EN19" s="51">
        <f>SUM(L19,R19,X19,AD19,AJ19,AP19,AV19,BB19,BH19,BN19,BT19,BZ19,CF19,CL19,CR19,CX19,DD19,DJ19,DP19,DV19,EB19,EH19)/BULLETIN!$B$38*100</f>
        <v>0</v>
      </c>
      <c r="EO19" s="52" t="str">
        <f t="shared" si="0"/>
        <v>10e</v>
      </c>
      <c r="EP19" s="51">
        <f>SUM(M19,S19,Y19,AE19,AK19,AQ19,AW19,BC19,BI19,BO19,BU19,CA19,CG19,CS19,CY19,DE19,DK19,DQ19,EC19,EI19,CM19,DW19)/BULLETIN!$C$38*100</f>
        <v>0</v>
      </c>
      <c r="EQ19" s="52" t="str">
        <f t="shared" si="1"/>
        <v>10e</v>
      </c>
      <c r="ER19" s="51">
        <f>SUM(N19,T19,Z19,AF19,AL19,AR19,AX19,BD19,BJ19,BP19,BV19,CB19,CH19,CT19,CZ19,DF19,DL19,DR19,ED19,EJ19,CN19,DX19)/BULLETIN!$D$38*100</f>
        <v>0</v>
      </c>
      <c r="ES19" s="52" t="str">
        <f t="shared" si="2"/>
        <v>10e</v>
      </c>
      <c r="ET19" s="51">
        <f>SUM(L19:N19,R19:T19,X19:Z19,AD19:AF19,AJ19:AL19,AP19:AR19,AV19:AX19,BB19:BD19,BH19:BJ19,BN19:BP19,BT19:BV19,BZ19:CB19,CF19:CH19,CR19:CT19,CX19:CZ19,DD19:DF19,DJ19:DL19,DP19:DR19,EB19:ED19,EH19:EJ19,CL19:CN19,DV19:DX19)/BULLETIN!$E$38*100</f>
        <v>0</v>
      </c>
      <c r="EU19" s="52" t="str">
        <f t="shared" si="3"/>
        <v>10e</v>
      </c>
      <c r="EV19" s="51">
        <f>SUM(O19,U19,AA19,AG19,AM19,AS19,AY19,BE19,BK19,BQ19,BW19,CC19,CI19,CU19,DA19,DG19,DM19,DS19,EE19,EK19,CO19,DY19)/BULLETIN!$F$38*100</f>
        <v>0</v>
      </c>
      <c r="EW19" s="52" t="str">
        <f t="shared" si="4"/>
        <v>10e</v>
      </c>
      <c r="EX19" s="51">
        <f>SUM(P19,V19,AB19,AH19,AN19,AT19,AZ19,BF19,BL19,BR19,BX19,CD19,CJ19,CV19,DB19,DH19,DN19,DS19,EF19,EL19,CP19,DZ19)/BULLETIN!$G$38*100</f>
        <v>0</v>
      </c>
      <c r="EY19" s="52" t="str">
        <f t="shared" si="5"/>
        <v>10e</v>
      </c>
      <c r="EZ19" s="51">
        <f>SUM(Q19,W19,AC19,AI19,AO19,AU19,BA19,BG19,BM19,BS19,BY19,CE19,CK19,CW19,DC19,DI19,DO19,DU19,EG19,EM19,EA19,CQ19)/BULLETIN!$H$38*100</f>
        <v>0</v>
      </c>
      <c r="FA19" s="52" t="str">
        <f t="shared" si="6"/>
        <v>10e</v>
      </c>
      <c r="FB19" s="51">
        <f>SUM(O19:Q19,U19:W19,AA19:AC19,AG19:AI19,AM19:AO19,AS19:AU19,AY19:BA19,BE19:BG19,BK19:BM19,BQ19:BS19,BW19:BY19,CC19:CE19,CI19:CK19,CU19:CW19,DA19:DC19,DM19:DO19,DS19:DU19,EE19:EG19,EK19:EM19,DG19:DI19,CO19:CQ19,DY19:EA19)/BULLETIN!$I$38*100</f>
        <v>0</v>
      </c>
      <c r="FC19" s="52" t="str">
        <f t="shared" si="7"/>
        <v>10e</v>
      </c>
      <c r="FD19" s="51">
        <f>SUM(L19:EM19)/BULLETIN!$J$38*100</f>
        <v>0</v>
      </c>
      <c r="FE19" s="52" t="str">
        <f t="shared" si="8"/>
        <v>10e</v>
      </c>
    </row>
    <row r="20" spans="1:161" ht="15.5" x14ac:dyDescent="0.35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6"/>
      <c r="L20" s="8"/>
      <c r="M20" s="1"/>
      <c r="N20" s="1"/>
      <c r="O20" s="1"/>
      <c r="P20" s="1"/>
      <c r="Q20" s="9"/>
      <c r="R20" s="10"/>
      <c r="S20" s="1"/>
      <c r="T20" s="1"/>
      <c r="U20" s="1"/>
      <c r="V20" s="2"/>
      <c r="W20" s="18"/>
      <c r="X20" s="8"/>
      <c r="Y20" s="1"/>
      <c r="Z20" s="1"/>
      <c r="AA20" s="1"/>
      <c r="AB20" s="1"/>
      <c r="AC20" s="9"/>
      <c r="AD20" s="8"/>
      <c r="AE20" s="1"/>
      <c r="AF20" s="1"/>
      <c r="AG20" s="1"/>
      <c r="AH20" s="1"/>
      <c r="AI20" s="9"/>
      <c r="AJ20" s="10"/>
      <c r="AK20" s="1"/>
      <c r="AL20" s="1"/>
      <c r="AM20" s="1"/>
      <c r="AN20" s="2"/>
      <c r="AO20" s="18"/>
      <c r="AP20" s="8"/>
      <c r="AQ20" s="1"/>
      <c r="AR20" s="1"/>
      <c r="AS20" s="2"/>
      <c r="AT20" s="1"/>
      <c r="AU20" s="9"/>
      <c r="AV20" s="8"/>
      <c r="AW20" s="1"/>
      <c r="AX20" s="1"/>
      <c r="AY20" s="2"/>
      <c r="AZ20" s="1"/>
      <c r="BA20" s="9"/>
      <c r="BB20" s="10"/>
      <c r="BC20" s="1"/>
      <c r="BD20" s="1"/>
      <c r="BE20" s="1"/>
      <c r="BF20" s="2"/>
      <c r="BG20" s="1"/>
      <c r="BH20" s="10"/>
      <c r="BI20" s="1"/>
      <c r="BJ20" s="1"/>
      <c r="BK20" s="2"/>
      <c r="BL20" s="1"/>
      <c r="BM20" s="9"/>
      <c r="BN20" s="10"/>
      <c r="BO20" s="1"/>
      <c r="BP20" s="1"/>
      <c r="BQ20" s="1"/>
      <c r="BR20" s="2"/>
      <c r="BS20" s="18"/>
      <c r="BT20" s="8"/>
      <c r="BU20" s="1"/>
      <c r="BV20" s="1"/>
      <c r="BW20" s="2"/>
      <c r="BX20" s="1"/>
      <c r="BY20" s="9"/>
      <c r="BZ20" s="10"/>
      <c r="CA20" s="1"/>
      <c r="CB20" s="1"/>
      <c r="CC20" s="1"/>
      <c r="CD20" s="2"/>
      <c r="CE20" s="18"/>
      <c r="CF20" s="10"/>
      <c r="CG20" s="1"/>
      <c r="CH20" s="1"/>
      <c r="CI20" s="1"/>
      <c r="CJ20" s="2"/>
      <c r="CK20" s="18"/>
      <c r="CL20" s="10"/>
      <c r="CM20" s="1"/>
      <c r="CN20" s="1"/>
      <c r="CO20" s="1"/>
      <c r="CP20" s="2"/>
      <c r="CQ20" s="18"/>
      <c r="CR20" s="10"/>
      <c r="CS20" s="1"/>
      <c r="CT20" s="1"/>
      <c r="CU20" s="1"/>
      <c r="CV20" s="2"/>
      <c r="CW20" s="18"/>
      <c r="CX20" s="8"/>
      <c r="CY20" s="1"/>
      <c r="CZ20" s="1"/>
      <c r="DA20" s="1"/>
      <c r="DB20" s="2"/>
      <c r="DC20" s="18"/>
      <c r="DD20" s="8"/>
      <c r="DE20" s="1"/>
      <c r="DF20" s="1"/>
      <c r="DG20" s="1"/>
      <c r="DH20" s="1"/>
      <c r="DI20" s="2"/>
      <c r="DJ20" s="60"/>
      <c r="DK20" s="1"/>
      <c r="DL20" s="1"/>
      <c r="DM20" s="1"/>
      <c r="DN20" s="1"/>
      <c r="DO20" s="61"/>
      <c r="DP20" s="10"/>
      <c r="DQ20" s="1"/>
      <c r="DR20" s="1"/>
      <c r="DS20" s="1"/>
      <c r="DT20" s="1"/>
      <c r="DU20" s="61"/>
      <c r="DV20" s="60"/>
      <c r="DW20" s="1"/>
      <c r="DX20" s="1"/>
      <c r="DY20" s="1"/>
      <c r="DZ20" s="1"/>
      <c r="EA20" s="61"/>
      <c r="EB20" s="10"/>
      <c r="EC20" s="1"/>
      <c r="ED20" s="1"/>
      <c r="EE20" s="1"/>
      <c r="EF20" s="1"/>
      <c r="EG20" s="61"/>
      <c r="EH20" s="10"/>
      <c r="EI20" s="1"/>
      <c r="EJ20" s="1"/>
      <c r="EK20" s="1"/>
      <c r="EL20" s="2"/>
      <c r="EM20" s="1"/>
      <c r="EN20" s="51">
        <f>SUM(L20,R20,X20,AD20,AJ20,AP20,AV20,BB20,BH20,BN20,BT20,BZ20,CF20,CL20,CR20,CX20,DD20,DJ20,DP20,DV20,EB20,EH20)/BULLETIN!$B$38*100</f>
        <v>0</v>
      </c>
      <c r="EO20" s="52" t="str">
        <f t="shared" si="0"/>
        <v>10e</v>
      </c>
      <c r="EP20" s="51">
        <f>SUM(M20,S20,Y20,AE20,AK20,AQ20,AW20,BC20,BI20,BO20,BU20,CA20,CG20,CS20,CY20,DE20,DK20,DQ20,EC20,EI20,CM20,DW20)/BULLETIN!$C$38*100</f>
        <v>0</v>
      </c>
      <c r="EQ20" s="52" t="str">
        <f t="shared" si="1"/>
        <v>10e</v>
      </c>
      <c r="ER20" s="51">
        <f>SUM(N20,T20,Z20,AF20,AL20,AR20,AX20,BD20,BJ20,BP20,BV20,CB20,CH20,CT20,CZ20,DF20,DL20,DR20,ED20,EJ20,CN20,DX20)/BULLETIN!$D$38*100</f>
        <v>0</v>
      </c>
      <c r="ES20" s="52" t="str">
        <f t="shared" si="2"/>
        <v>10e</v>
      </c>
      <c r="ET20" s="51">
        <f>SUM(L20:N20,R20:T20,X20:Z20,AD20:AF20,AJ20:AL20,AP20:AR20,AV20:AX20,BB20:BD20,BH20:BJ20,BN20:BP20,BT20:BV20,BZ20:CB20,CF20:CH20,CR20:CT20,CX20:CZ20,DD20:DF20,DJ20:DL20,DP20:DR20,EB20:ED20,EH20:EJ20,CL20:CN20,DV20:DX20)/BULLETIN!$E$38*100</f>
        <v>0</v>
      </c>
      <c r="EU20" s="52" t="str">
        <f t="shared" si="3"/>
        <v>10e</v>
      </c>
      <c r="EV20" s="51">
        <f>SUM(O20,U20,AA20,AG20,AM20,AS20,AY20,BE20,BK20,BQ20,BW20,CC20,CI20,CU20,DA20,DG20,DM20,DS20,EE20,EK20,CO20,DY20)/BULLETIN!$F$38*100</f>
        <v>0</v>
      </c>
      <c r="EW20" s="52" t="str">
        <f t="shared" si="4"/>
        <v>10e</v>
      </c>
      <c r="EX20" s="51">
        <f>SUM(P20,V20,AB20,AH20,AN20,AT20,AZ20,BF20,BL20,BR20,BX20,CD20,CJ20,CV20,DB20,DH20,DN20,DS20,EF20,EL20,CP20,DZ20)/BULLETIN!$G$38*100</f>
        <v>0</v>
      </c>
      <c r="EY20" s="52" t="str">
        <f t="shared" si="5"/>
        <v>10e</v>
      </c>
      <c r="EZ20" s="51">
        <f>SUM(Q20,W20,AC20,AI20,AO20,AU20,BA20,BG20,BM20,BS20,BY20,CE20,CK20,CW20,DC20,DI20,DO20,DU20,EG20,EM20,EA20,CQ20)/BULLETIN!$H$38*100</f>
        <v>0</v>
      </c>
      <c r="FA20" s="52" t="str">
        <f t="shared" si="6"/>
        <v>10e</v>
      </c>
      <c r="FB20" s="51">
        <f>SUM(O20:Q20,U20:W20,AA20:AC20,AG20:AI20,AM20:AO20,AS20:AU20,AY20:BA20,BE20:BG20,BK20:BM20,BQ20:BS20,BW20:BY20,CC20:CE20,CI20:CK20,CU20:CW20,DA20:DC20,DM20:DO20,DS20:DU20,EE20:EG20,EK20:EM20,DG20:DI20,CO20:CQ20,DY20:EA20)/BULLETIN!$I$38*100</f>
        <v>0</v>
      </c>
      <c r="FC20" s="52" t="str">
        <f t="shared" si="7"/>
        <v>10e</v>
      </c>
      <c r="FD20" s="51">
        <f>SUM(L20:EM20)/BULLETIN!$J$38*100</f>
        <v>0</v>
      </c>
      <c r="FE20" s="52" t="str">
        <f t="shared" si="8"/>
        <v>10e</v>
      </c>
    </row>
    <row r="21" spans="1:161" ht="15.5" x14ac:dyDescent="0.35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6"/>
      <c r="L21" s="8"/>
      <c r="M21" s="1"/>
      <c r="N21" s="1"/>
      <c r="O21" s="1"/>
      <c r="P21" s="1"/>
      <c r="Q21" s="9"/>
      <c r="R21" s="10"/>
      <c r="S21" s="1"/>
      <c r="T21" s="1"/>
      <c r="U21" s="1"/>
      <c r="V21" s="2"/>
      <c r="W21" s="18"/>
      <c r="X21" s="8"/>
      <c r="Y21" s="1"/>
      <c r="Z21" s="1"/>
      <c r="AA21" s="1"/>
      <c r="AB21" s="1"/>
      <c r="AC21" s="9"/>
      <c r="AD21" s="8"/>
      <c r="AE21" s="1"/>
      <c r="AF21" s="1"/>
      <c r="AG21" s="1"/>
      <c r="AH21" s="1"/>
      <c r="AI21" s="9"/>
      <c r="AJ21" s="10"/>
      <c r="AK21" s="1"/>
      <c r="AL21" s="1"/>
      <c r="AM21" s="1"/>
      <c r="AN21" s="2"/>
      <c r="AO21" s="18"/>
      <c r="AP21" s="8"/>
      <c r="AQ21" s="1"/>
      <c r="AR21" s="1"/>
      <c r="AS21" s="2"/>
      <c r="AT21" s="1"/>
      <c r="AU21" s="9"/>
      <c r="AV21" s="8"/>
      <c r="AW21" s="1"/>
      <c r="AX21" s="1"/>
      <c r="AY21" s="2"/>
      <c r="AZ21" s="1"/>
      <c r="BA21" s="9"/>
      <c r="BB21" s="10"/>
      <c r="BC21" s="1"/>
      <c r="BD21" s="1"/>
      <c r="BE21" s="1"/>
      <c r="BF21" s="2"/>
      <c r="BG21" s="1"/>
      <c r="BH21" s="10"/>
      <c r="BI21" s="1"/>
      <c r="BJ21" s="1"/>
      <c r="BK21" s="2"/>
      <c r="BL21" s="1"/>
      <c r="BM21" s="9"/>
      <c r="BN21" s="10"/>
      <c r="BO21" s="1"/>
      <c r="BP21" s="1"/>
      <c r="BQ21" s="1"/>
      <c r="BR21" s="2"/>
      <c r="BS21" s="18"/>
      <c r="BT21" s="8"/>
      <c r="BU21" s="1"/>
      <c r="BV21" s="1"/>
      <c r="BW21" s="2"/>
      <c r="BX21" s="1"/>
      <c r="BY21" s="9"/>
      <c r="BZ21" s="10"/>
      <c r="CA21" s="1"/>
      <c r="CB21" s="1"/>
      <c r="CC21" s="1"/>
      <c r="CD21" s="2"/>
      <c r="CE21" s="18"/>
      <c r="CF21" s="10"/>
      <c r="CG21" s="1"/>
      <c r="CH21" s="1"/>
      <c r="CI21" s="1"/>
      <c r="CJ21" s="2"/>
      <c r="CK21" s="18"/>
      <c r="CL21" s="10"/>
      <c r="CM21" s="1"/>
      <c r="CN21" s="1"/>
      <c r="CO21" s="1"/>
      <c r="CP21" s="2"/>
      <c r="CQ21" s="18"/>
      <c r="CR21" s="10"/>
      <c r="CS21" s="1"/>
      <c r="CT21" s="1"/>
      <c r="CU21" s="1"/>
      <c r="CV21" s="2"/>
      <c r="CW21" s="18"/>
      <c r="CX21" s="8"/>
      <c r="CY21" s="1"/>
      <c r="CZ21" s="1"/>
      <c r="DA21" s="1"/>
      <c r="DB21" s="2"/>
      <c r="DC21" s="18"/>
      <c r="DD21" s="8"/>
      <c r="DE21" s="1"/>
      <c r="DF21" s="1"/>
      <c r="DG21" s="1"/>
      <c r="DH21" s="1"/>
      <c r="DI21" s="2"/>
      <c r="DJ21" s="60"/>
      <c r="DK21" s="1"/>
      <c r="DL21" s="1"/>
      <c r="DM21" s="1"/>
      <c r="DN21" s="1"/>
      <c r="DO21" s="61"/>
      <c r="DP21" s="10"/>
      <c r="DQ21" s="1"/>
      <c r="DR21" s="1"/>
      <c r="DS21" s="1"/>
      <c r="DT21" s="1"/>
      <c r="DU21" s="61"/>
      <c r="DV21" s="60"/>
      <c r="DW21" s="1"/>
      <c r="DX21" s="1"/>
      <c r="DY21" s="1"/>
      <c r="DZ21" s="1"/>
      <c r="EA21" s="61"/>
      <c r="EB21" s="10"/>
      <c r="EC21" s="1"/>
      <c r="ED21" s="1"/>
      <c r="EE21" s="1"/>
      <c r="EF21" s="1"/>
      <c r="EG21" s="61"/>
      <c r="EH21" s="10"/>
      <c r="EI21" s="1"/>
      <c r="EJ21" s="1"/>
      <c r="EK21" s="1"/>
      <c r="EL21" s="2"/>
      <c r="EM21" s="1"/>
      <c r="EN21" s="51">
        <f>SUM(L21,R21,X21,AD21,AJ21,AP21,AV21,BB21,BH21,BN21,BT21,BZ21,CF21,CL21,CR21,CX21,DD21,DJ21,DP21,DV21,EB21,EH21)/BULLETIN!$B$38*100</f>
        <v>0</v>
      </c>
      <c r="EO21" s="52" t="str">
        <f t="shared" si="0"/>
        <v>10e</v>
      </c>
      <c r="EP21" s="51">
        <f>SUM(M21,S21,Y21,AE21,AK21,AQ21,AW21,BC21,BI21,BO21,BU21,CA21,CG21,CS21,CY21,DE21,DK21,DQ21,EC21,EI21,CM21,DW21)/BULLETIN!$C$38*100</f>
        <v>0</v>
      </c>
      <c r="EQ21" s="52" t="str">
        <f t="shared" si="1"/>
        <v>10e</v>
      </c>
      <c r="ER21" s="51">
        <f>SUM(N21,T21,Z21,AF21,AL21,AR21,AX21,BD21,BJ21,BP21,BV21,CB21,CH21,CT21,CZ21,DF21,DL21,DR21,ED21,EJ21,CN21,DX21)/BULLETIN!$D$38*100</f>
        <v>0</v>
      </c>
      <c r="ES21" s="52" t="str">
        <f t="shared" si="2"/>
        <v>10e</v>
      </c>
      <c r="ET21" s="51">
        <f>SUM(L21:N21,R21:T21,X21:Z21,AD21:AF21,AJ21:AL21,AP21:AR21,AV21:AX21,BB21:BD21,BH21:BJ21,BN21:BP21,BT21:BV21,BZ21:CB21,CF21:CH21,CR21:CT21,CX21:CZ21,DD21:DF21,DJ21:DL21,DP21:DR21,EB21:ED21,EH21:EJ21,CL21:CN21,DV21:DX21)/BULLETIN!$E$38*100</f>
        <v>0</v>
      </c>
      <c r="EU21" s="52" t="str">
        <f t="shared" si="3"/>
        <v>10e</v>
      </c>
      <c r="EV21" s="51">
        <f>SUM(O21,U21,AA21,AG21,AM21,AS21,AY21,BE21,BK21,BQ21,BW21,CC21,CI21,CU21,DA21,DG21,DM21,DS21,EE21,EK21,CO21,DY21)/BULLETIN!$F$38*100</f>
        <v>0</v>
      </c>
      <c r="EW21" s="52" t="str">
        <f t="shared" si="4"/>
        <v>10e</v>
      </c>
      <c r="EX21" s="51">
        <f>SUM(P21,V21,AB21,AH21,AN21,AT21,AZ21,BF21,BL21,BR21,BX21,CD21,CJ21,CV21,DB21,DH21,DN21,DS21,EF21,EL21,CP21,DZ21)/BULLETIN!$G$38*100</f>
        <v>0</v>
      </c>
      <c r="EY21" s="52" t="str">
        <f t="shared" si="5"/>
        <v>10e</v>
      </c>
      <c r="EZ21" s="51">
        <f>SUM(Q21,W21,AC21,AI21,AO21,AU21,BA21,BG21,BM21,BS21,BY21,CE21,CK21,CW21,DC21,DI21,DO21,DU21,EG21,EM21,EA21,CQ21)/BULLETIN!$H$38*100</f>
        <v>0</v>
      </c>
      <c r="FA21" s="52" t="str">
        <f t="shared" si="6"/>
        <v>10e</v>
      </c>
      <c r="FB21" s="51">
        <f>SUM(O21:Q21,U21:W21,AA21:AC21,AG21:AI21,AM21:AO21,AS21:AU21,AY21:BA21,BE21:BG21,BK21:BM21,BQ21:BS21,BW21:BY21,CC21:CE21,CI21:CK21,CU21:CW21,DA21:DC21,DM21:DO21,DS21:DU21,EE21:EG21,EK21:EM21,DG21:DI21,CO21:CQ21,DY21:EA21)/BULLETIN!$I$38*100</f>
        <v>0</v>
      </c>
      <c r="FC21" s="52" t="str">
        <f t="shared" si="7"/>
        <v>10e</v>
      </c>
      <c r="FD21" s="51">
        <f>SUM(L21:EM21)/BULLETIN!$J$38*100</f>
        <v>0</v>
      </c>
      <c r="FE21" s="52" t="str">
        <f t="shared" si="8"/>
        <v>10e</v>
      </c>
    </row>
    <row r="22" spans="1:161" ht="15.5" x14ac:dyDescent="0.35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6"/>
      <c r="L22" s="8"/>
      <c r="M22" s="1"/>
      <c r="N22" s="1"/>
      <c r="O22" s="1"/>
      <c r="P22" s="1"/>
      <c r="Q22" s="9"/>
      <c r="R22" s="10"/>
      <c r="S22" s="1"/>
      <c r="T22" s="1"/>
      <c r="U22" s="1"/>
      <c r="V22" s="2"/>
      <c r="W22" s="18"/>
      <c r="X22" s="8"/>
      <c r="Y22" s="1"/>
      <c r="Z22" s="1"/>
      <c r="AA22" s="1"/>
      <c r="AB22" s="1"/>
      <c r="AC22" s="9"/>
      <c r="AD22" s="8"/>
      <c r="AE22" s="1"/>
      <c r="AF22" s="1"/>
      <c r="AG22" s="1"/>
      <c r="AH22" s="1"/>
      <c r="AI22" s="9"/>
      <c r="AJ22" s="10"/>
      <c r="AK22" s="1"/>
      <c r="AL22" s="1"/>
      <c r="AM22" s="1"/>
      <c r="AN22" s="2"/>
      <c r="AO22" s="18"/>
      <c r="AP22" s="8"/>
      <c r="AQ22" s="1"/>
      <c r="AR22" s="1"/>
      <c r="AS22" s="2"/>
      <c r="AT22" s="1"/>
      <c r="AU22" s="9"/>
      <c r="AV22" s="8"/>
      <c r="AW22" s="1"/>
      <c r="AX22" s="1"/>
      <c r="AY22" s="2"/>
      <c r="AZ22" s="1"/>
      <c r="BA22" s="9"/>
      <c r="BB22" s="10"/>
      <c r="BC22" s="1"/>
      <c r="BD22" s="1"/>
      <c r="BE22" s="1"/>
      <c r="BF22" s="2"/>
      <c r="BG22" s="1"/>
      <c r="BH22" s="10"/>
      <c r="BI22" s="1"/>
      <c r="BJ22" s="1"/>
      <c r="BK22" s="2"/>
      <c r="BL22" s="1"/>
      <c r="BM22" s="9"/>
      <c r="BN22" s="10"/>
      <c r="BO22" s="1"/>
      <c r="BP22" s="1"/>
      <c r="BQ22" s="1"/>
      <c r="BR22" s="2"/>
      <c r="BS22" s="18"/>
      <c r="BT22" s="8"/>
      <c r="BU22" s="1"/>
      <c r="BV22" s="1"/>
      <c r="BW22" s="2"/>
      <c r="BX22" s="1"/>
      <c r="BY22" s="9"/>
      <c r="BZ22" s="10"/>
      <c r="CA22" s="1"/>
      <c r="CB22" s="1"/>
      <c r="CC22" s="1"/>
      <c r="CD22" s="2"/>
      <c r="CE22" s="18"/>
      <c r="CF22" s="10"/>
      <c r="CG22" s="1"/>
      <c r="CH22" s="1"/>
      <c r="CI22" s="1"/>
      <c r="CJ22" s="2"/>
      <c r="CK22" s="18"/>
      <c r="CL22" s="10"/>
      <c r="CM22" s="1"/>
      <c r="CN22" s="1"/>
      <c r="CO22" s="1"/>
      <c r="CP22" s="2"/>
      <c r="CQ22" s="18"/>
      <c r="CR22" s="10"/>
      <c r="CS22" s="1"/>
      <c r="CT22" s="1"/>
      <c r="CU22" s="1"/>
      <c r="CV22" s="2"/>
      <c r="CW22" s="18"/>
      <c r="CX22" s="8"/>
      <c r="CY22" s="1"/>
      <c r="CZ22" s="1"/>
      <c r="DA22" s="1"/>
      <c r="DB22" s="2"/>
      <c r="DC22" s="18"/>
      <c r="DD22" s="8"/>
      <c r="DE22" s="1"/>
      <c r="DF22" s="1"/>
      <c r="DG22" s="1"/>
      <c r="DH22" s="1"/>
      <c r="DI22" s="2"/>
      <c r="DJ22" s="60"/>
      <c r="DK22" s="1"/>
      <c r="DL22" s="1"/>
      <c r="DM22" s="1"/>
      <c r="DN22" s="1"/>
      <c r="DO22" s="61"/>
      <c r="DP22" s="10"/>
      <c r="DQ22" s="1"/>
      <c r="DR22" s="1"/>
      <c r="DS22" s="1"/>
      <c r="DT22" s="1"/>
      <c r="DU22" s="61"/>
      <c r="DV22" s="60"/>
      <c r="DW22" s="1"/>
      <c r="DX22" s="1"/>
      <c r="DY22" s="1"/>
      <c r="DZ22" s="1"/>
      <c r="EA22" s="61"/>
      <c r="EB22" s="10"/>
      <c r="EC22" s="1"/>
      <c r="ED22" s="1"/>
      <c r="EE22" s="1"/>
      <c r="EF22" s="1"/>
      <c r="EG22" s="61"/>
      <c r="EH22" s="10"/>
      <c r="EI22" s="1"/>
      <c r="EJ22" s="1"/>
      <c r="EK22" s="1"/>
      <c r="EL22" s="2"/>
      <c r="EM22" s="1"/>
      <c r="EN22" s="51">
        <f>SUM(L22,R22,X22,AD22,AJ22,AP22,AV22,BB22,BH22,BN22,BT22,BZ22,CF22,CL22,CR22,CX22,DD22,DJ22,DP22,DV22,EB22,EH22)/BULLETIN!$B$38*100</f>
        <v>0</v>
      </c>
      <c r="EO22" s="52" t="str">
        <f t="shared" si="0"/>
        <v>10e</v>
      </c>
      <c r="EP22" s="51">
        <f>SUM(M22,S22,Y22,AE22,AK22,AQ22,AW22,BC22,BI22,BO22,BU22,CA22,CG22,CS22,CY22,DE22,DK22,DQ22,EC22,EI22,CM22,DW22)/BULLETIN!$C$38*100</f>
        <v>0</v>
      </c>
      <c r="EQ22" s="52" t="str">
        <f t="shared" si="1"/>
        <v>10e</v>
      </c>
      <c r="ER22" s="51">
        <f>SUM(N22,T22,Z22,AF22,AL22,AR22,AX22,BD22,BJ22,BP22,BV22,CB22,CH22,CT22,CZ22,DF22,DL22,DR22,ED22,EJ22,CN22,DX22)/BULLETIN!$D$38*100</f>
        <v>0</v>
      </c>
      <c r="ES22" s="52" t="str">
        <f t="shared" si="2"/>
        <v>10e</v>
      </c>
      <c r="ET22" s="51">
        <f>SUM(L22:N22,R22:T22,X22:Z22,AD22:AF22,AJ22:AL22,AP22:AR22,AV22:AX22,BB22:BD22,BH22:BJ22,BN22:BP22,BT22:BV22,BZ22:CB22,CF22:CH22,CR22:CT22,CX22:CZ22,DD22:DF22,DJ22:DL22,DP22:DR22,EB22:ED22,EH22:EJ22,CL22:CN22,DV22:DX22)/BULLETIN!$E$38*100</f>
        <v>0</v>
      </c>
      <c r="EU22" s="52" t="str">
        <f t="shared" si="3"/>
        <v>10e</v>
      </c>
      <c r="EV22" s="51">
        <f>SUM(O22,U22,AA22,AG22,AM22,AS22,AY22,BE22,BK22,BQ22,BW22,CC22,CI22,CU22,DA22,DG22,DM22,DS22,EE22,EK22,CO22,DY22)/BULLETIN!$F$38*100</f>
        <v>0</v>
      </c>
      <c r="EW22" s="52" t="str">
        <f t="shared" si="4"/>
        <v>10e</v>
      </c>
      <c r="EX22" s="51">
        <f>SUM(P22,V22,AB22,AH22,AN22,AT22,AZ22,BF22,BL22,BR22,BX22,CD22,CJ22,CV22,DB22,DH22,DN22,DS22,EF22,EL22,CP22,DZ22)/BULLETIN!$G$38*100</f>
        <v>0</v>
      </c>
      <c r="EY22" s="52" t="str">
        <f t="shared" si="5"/>
        <v>10e</v>
      </c>
      <c r="EZ22" s="51">
        <f>SUM(Q22,W22,AC22,AI22,AO22,AU22,BA22,BG22,BM22,BS22,BY22,CE22,CK22,CW22,DC22,DI22,DO22,DU22,EG22,EM22,EA22,CQ22)/BULLETIN!$H$38*100</f>
        <v>0</v>
      </c>
      <c r="FA22" s="52" t="str">
        <f t="shared" si="6"/>
        <v>10e</v>
      </c>
      <c r="FB22" s="51">
        <f>SUM(O22:Q22,U22:W22,AA22:AC22,AG22:AI22,AM22:AO22,AS22:AU22,AY22:BA22,BE22:BG22,BK22:BM22,BQ22:BS22,BW22:BY22,CC22:CE22,CI22:CK22,CU22:CW22,DA22:DC22,DM22:DO22,DS22:DU22,EE22:EG22,EK22:EM22,DG22:DI22,CO22:CQ22,DY22:EA22)/BULLETIN!$I$38*100</f>
        <v>0</v>
      </c>
      <c r="FC22" s="52" t="str">
        <f t="shared" si="7"/>
        <v>10e</v>
      </c>
      <c r="FD22" s="51">
        <f>SUM(L22:EM22)/BULLETIN!$J$38*100</f>
        <v>0</v>
      </c>
      <c r="FE22" s="52" t="str">
        <f t="shared" si="8"/>
        <v>10e</v>
      </c>
    </row>
    <row r="23" spans="1:161" ht="15.5" x14ac:dyDescent="0.35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6"/>
      <c r="L23" s="8"/>
      <c r="M23" s="1"/>
      <c r="N23" s="1"/>
      <c r="O23" s="1"/>
      <c r="P23" s="1"/>
      <c r="Q23" s="9"/>
      <c r="R23" s="10"/>
      <c r="S23" s="1"/>
      <c r="T23" s="1"/>
      <c r="U23" s="1"/>
      <c r="V23" s="2"/>
      <c r="W23" s="18"/>
      <c r="X23" s="8"/>
      <c r="Y23" s="1"/>
      <c r="Z23" s="1"/>
      <c r="AA23" s="1"/>
      <c r="AB23" s="1"/>
      <c r="AC23" s="9"/>
      <c r="AD23" s="8"/>
      <c r="AE23" s="1"/>
      <c r="AF23" s="1"/>
      <c r="AG23" s="1"/>
      <c r="AH23" s="1"/>
      <c r="AI23" s="9"/>
      <c r="AJ23" s="10"/>
      <c r="AK23" s="1"/>
      <c r="AL23" s="1"/>
      <c r="AM23" s="1"/>
      <c r="AN23" s="2"/>
      <c r="AO23" s="18"/>
      <c r="AP23" s="8"/>
      <c r="AQ23" s="1"/>
      <c r="AR23" s="1"/>
      <c r="AS23" s="2"/>
      <c r="AT23" s="1"/>
      <c r="AU23" s="9"/>
      <c r="AV23" s="8"/>
      <c r="AW23" s="1"/>
      <c r="AX23" s="1"/>
      <c r="AY23" s="2"/>
      <c r="AZ23" s="1"/>
      <c r="BA23" s="9"/>
      <c r="BB23" s="10"/>
      <c r="BC23" s="1"/>
      <c r="BD23" s="1"/>
      <c r="BE23" s="1"/>
      <c r="BF23" s="2"/>
      <c r="BG23" s="1"/>
      <c r="BH23" s="10"/>
      <c r="BI23" s="1"/>
      <c r="BJ23" s="1"/>
      <c r="BK23" s="2"/>
      <c r="BL23" s="1"/>
      <c r="BM23" s="9"/>
      <c r="BN23" s="10"/>
      <c r="BO23" s="1"/>
      <c r="BP23" s="1"/>
      <c r="BQ23" s="1"/>
      <c r="BR23" s="2"/>
      <c r="BS23" s="18"/>
      <c r="BT23" s="8"/>
      <c r="BU23" s="1"/>
      <c r="BV23" s="1"/>
      <c r="BW23" s="2"/>
      <c r="BX23" s="1"/>
      <c r="BY23" s="9"/>
      <c r="BZ23" s="10"/>
      <c r="CA23" s="1"/>
      <c r="CB23" s="1"/>
      <c r="CC23" s="1"/>
      <c r="CD23" s="2"/>
      <c r="CE23" s="18"/>
      <c r="CF23" s="10"/>
      <c r="CG23" s="1"/>
      <c r="CH23" s="1"/>
      <c r="CI23" s="1"/>
      <c r="CJ23" s="2"/>
      <c r="CK23" s="18"/>
      <c r="CL23" s="10"/>
      <c r="CM23" s="1"/>
      <c r="CN23" s="1"/>
      <c r="CO23" s="1"/>
      <c r="CP23" s="2"/>
      <c r="CQ23" s="18"/>
      <c r="CR23" s="10"/>
      <c r="CS23" s="1"/>
      <c r="CT23" s="1"/>
      <c r="CU23" s="1"/>
      <c r="CV23" s="2"/>
      <c r="CW23" s="18"/>
      <c r="CX23" s="8"/>
      <c r="CY23" s="1"/>
      <c r="CZ23" s="1"/>
      <c r="DA23" s="1"/>
      <c r="DB23" s="2"/>
      <c r="DC23" s="18"/>
      <c r="DD23" s="8"/>
      <c r="DE23" s="1"/>
      <c r="DF23" s="1"/>
      <c r="DG23" s="1"/>
      <c r="DH23" s="1"/>
      <c r="DI23" s="2"/>
      <c r="DJ23" s="60"/>
      <c r="DK23" s="1"/>
      <c r="DL23" s="1"/>
      <c r="DM23" s="1"/>
      <c r="DN23" s="1"/>
      <c r="DO23" s="61"/>
      <c r="DP23" s="10"/>
      <c r="DQ23" s="1"/>
      <c r="DR23" s="1"/>
      <c r="DS23" s="1"/>
      <c r="DT23" s="1"/>
      <c r="DU23" s="61"/>
      <c r="DV23" s="60"/>
      <c r="DW23" s="1"/>
      <c r="DX23" s="1"/>
      <c r="DY23" s="1"/>
      <c r="DZ23" s="1"/>
      <c r="EA23" s="61"/>
      <c r="EB23" s="10"/>
      <c r="EC23" s="1"/>
      <c r="ED23" s="1"/>
      <c r="EE23" s="1"/>
      <c r="EF23" s="1"/>
      <c r="EG23" s="61"/>
      <c r="EH23" s="10"/>
      <c r="EI23" s="1"/>
      <c r="EJ23" s="1"/>
      <c r="EK23" s="1"/>
      <c r="EL23" s="2"/>
      <c r="EM23" s="1"/>
      <c r="EN23" s="51">
        <f>SUM(L23,R23,X23,AD23,AJ23,AP23,AV23,BB23,BH23,BN23,BT23,BZ23,CF23,CL23,CR23,CX23,DD23,DJ23,DP23,DV23,EB23,EH23)/BULLETIN!$B$38*100</f>
        <v>0</v>
      </c>
      <c r="EO23" s="52" t="str">
        <f t="shared" si="0"/>
        <v>10e</v>
      </c>
      <c r="EP23" s="51">
        <f>SUM(M23,S23,Y23,AE23,AK23,AQ23,AW23,BC23,BI23,BO23,BU23,CA23,CG23,CS23,CY23,DE23,DK23,DQ23,EC23,EI23,CM23,DW23)/BULLETIN!$C$38*100</f>
        <v>0</v>
      </c>
      <c r="EQ23" s="52" t="str">
        <f t="shared" si="1"/>
        <v>10e</v>
      </c>
      <c r="ER23" s="51">
        <f>SUM(N23,T23,Z23,AF23,AL23,AR23,AX23,BD23,BJ23,BP23,BV23,CB23,CH23,CT23,CZ23,DF23,DL23,DR23,ED23,EJ23,CN23,DX23)/BULLETIN!$D$38*100</f>
        <v>0</v>
      </c>
      <c r="ES23" s="52" t="str">
        <f t="shared" si="2"/>
        <v>10e</v>
      </c>
      <c r="ET23" s="51">
        <f>SUM(L23:N23,R23:T23,X23:Z23,AD23:AF23,AJ23:AL23,AP23:AR23,AV23:AX23,BB23:BD23,BH23:BJ23,BN23:BP23,BT23:BV23,BZ23:CB23,CF23:CH23,CR23:CT23,CX23:CZ23,DD23:DF23,DJ23:DL23,DP23:DR23,EB23:ED23,EH23:EJ23,CL23:CN23,DV23:DX23)/BULLETIN!$E$38*100</f>
        <v>0</v>
      </c>
      <c r="EU23" s="52" t="str">
        <f t="shared" si="3"/>
        <v>10e</v>
      </c>
      <c r="EV23" s="51">
        <f>SUM(O23,U23,AA23,AG23,AM23,AS23,AY23,BE23,BK23,BQ23,BW23,CC23,CI23,CU23,DA23,DG23,DM23,DS23,EE23,EK23,CO23,DY23)/BULLETIN!$F$38*100</f>
        <v>0</v>
      </c>
      <c r="EW23" s="52" t="str">
        <f t="shared" si="4"/>
        <v>10e</v>
      </c>
      <c r="EX23" s="51">
        <f>SUM(P23,V23,AB23,AH23,AN23,AT23,AZ23,BF23,BL23,BR23,BX23,CD23,CJ23,CV23,DB23,DH23,DN23,DS23,EF23,EL23,CP23,DZ23)/BULLETIN!$G$38*100</f>
        <v>0</v>
      </c>
      <c r="EY23" s="52" t="str">
        <f t="shared" si="5"/>
        <v>10e</v>
      </c>
      <c r="EZ23" s="51">
        <f>SUM(Q23,W23,AC23,AI23,AO23,AU23,BA23,BG23,BM23,BS23,BY23,CE23,CK23,CW23,DC23,DI23,DO23,DU23,EG23,EM23,EA23,CQ23)/BULLETIN!$H$38*100</f>
        <v>0</v>
      </c>
      <c r="FA23" s="52" t="str">
        <f t="shared" si="6"/>
        <v>10e</v>
      </c>
      <c r="FB23" s="51">
        <f>SUM(O23:Q23,U23:W23,AA23:AC23,AG23:AI23,AM23:AO23,AS23:AU23,AY23:BA23,BE23:BG23,BK23:BM23,BQ23:BS23,BW23:BY23,CC23:CE23,CI23:CK23,CU23:CW23,DA23:DC23,DM23:DO23,DS23:DU23,EE23:EG23,EK23:EM23,DG23:DI23,CO23:CQ23,DY23:EA23)/BULLETIN!$I$38*100</f>
        <v>0</v>
      </c>
      <c r="FC23" s="52" t="str">
        <f t="shared" si="7"/>
        <v>10e</v>
      </c>
      <c r="FD23" s="51">
        <f>SUM(L23:EM23)/BULLETIN!$J$38*100</f>
        <v>0</v>
      </c>
      <c r="FE23" s="52" t="str">
        <f t="shared" si="8"/>
        <v>10e</v>
      </c>
    </row>
    <row r="24" spans="1:161" ht="15.5" x14ac:dyDescent="0.35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6"/>
      <c r="L24" s="8"/>
      <c r="M24" s="1"/>
      <c r="N24" s="1"/>
      <c r="O24" s="1"/>
      <c r="P24" s="1"/>
      <c r="Q24" s="9"/>
      <c r="R24" s="10"/>
      <c r="S24" s="1"/>
      <c r="T24" s="1"/>
      <c r="U24" s="1"/>
      <c r="V24" s="2"/>
      <c r="W24" s="18"/>
      <c r="X24" s="8"/>
      <c r="Y24" s="1"/>
      <c r="Z24" s="1"/>
      <c r="AA24" s="1"/>
      <c r="AB24" s="1"/>
      <c r="AC24" s="9"/>
      <c r="AD24" s="8"/>
      <c r="AE24" s="1"/>
      <c r="AF24" s="1"/>
      <c r="AG24" s="1"/>
      <c r="AH24" s="1"/>
      <c r="AI24" s="9"/>
      <c r="AJ24" s="10"/>
      <c r="AK24" s="1"/>
      <c r="AL24" s="1"/>
      <c r="AM24" s="1"/>
      <c r="AN24" s="2"/>
      <c r="AO24" s="18"/>
      <c r="AP24" s="8"/>
      <c r="AQ24" s="1"/>
      <c r="AR24" s="1"/>
      <c r="AS24" s="2"/>
      <c r="AT24" s="1"/>
      <c r="AU24" s="9"/>
      <c r="AV24" s="8"/>
      <c r="AW24" s="1"/>
      <c r="AX24" s="1"/>
      <c r="AY24" s="2"/>
      <c r="AZ24" s="1"/>
      <c r="BA24" s="9"/>
      <c r="BB24" s="10"/>
      <c r="BC24" s="1"/>
      <c r="BD24" s="1"/>
      <c r="BE24" s="1"/>
      <c r="BF24" s="2"/>
      <c r="BG24" s="1"/>
      <c r="BH24" s="10"/>
      <c r="BI24" s="1"/>
      <c r="BJ24" s="1"/>
      <c r="BK24" s="2"/>
      <c r="BL24" s="1"/>
      <c r="BM24" s="9"/>
      <c r="BN24" s="10"/>
      <c r="BO24" s="1"/>
      <c r="BP24" s="1"/>
      <c r="BQ24" s="1"/>
      <c r="BR24" s="2"/>
      <c r="BS24" s="18"/>
      <c r="BT24" s="8"/>
      <c r="BU24" s="1"/>
      <c r="BV24" s="1"/>
      <c r="BW24" s="2"/>
      <c r="BX24" s="1"/>
      <c r="BY24" s="9"/>
      <c r="BZ24" s="10"/>
      <c r="CA24" s="1"/>
      <c r="CB24" s="1"/>
      <c r="CC24" s="1"/>
      <c r="CD24" s="2"/>
      <c r="CE24" s="18"/>
      <c r="CF24" s="10"/>
      <c r="CG24" s="1"/>
      <c r="CH24" s="1"/>
      <c r="CI24" s="1"/>
      <c r="CJ24" s="2"/>
      <c r="CK24" s="18"/>
      <c r="CL24" s="10"/>
      <c r="CM24" s="1"/>
      <c r="CN24" s="1"/>
      <c r="CO24" s="1"/>
      <c r="CP24" s="2"/>
      <c r="CQ24" s="18"/>
      <c r="CR24" s="10"/>
      <c r="CS24" s="1"/>
      <c r="CT24" s="1"/>
      <c r="CU24" s="1"/>
      <c r="CV24" s="2"/>
      <c r="CW24" s="18"/>
      <c r="CX24" s="8"/>
      <c r="CY24" s="1"/>
      <c r="CZ24" s="1"/>
      <c r="DA24" s="1"/>
      <c r="DB24" s="2"/>
      <c r="DC24" s="18"/>
      <c r="DD24" s="8"/>
      <c r="DE24" s="1"/>
      <c r="DF24" s="1"/>
      <c r="DG24" s="1"/>
      <c r="DH24" s="1"/>
      <c r="DI24" s="2"/>
      <c r="DJ24" s="60"/>
      <c r="DK24" s="1"/>
      <c r="DL24" s="1"/>
      <c r="DM24" s="1"/>
      <c r="DN24" s="1"/>
      <c r="DO24" s="61"/>
      <c r="DP24" s="10"/>
      <c r="DQ24" s="1"/>
      <c r="DR24" s="1"/>
      <c r="DS24" s="1"/>
      <c r="DT24" s="1"/>
      <c r="DU24" s="61"/>
      <c r="DV24" s="60"/>
      <c r="DW24" s="1"/>
      <c r="DX24" s="1"/>
      <c r="DY24" s="1"/>
      <c r="DZ24" s="1"/>
      <c r="EA24" s="61"/>
      <c r="EB24" s="10"/>
      <c r="EC24" s="1"/>
      <c r="ED24" s="1"/>
      <c r="EE24" s="1"/>
      <c r="EF24" s="1"/>
      <c r="EG24" s="61"/>
      <c r="EH24" s="10"/>
      <c r="EI24" s="1"/>
      <c r="EJ24" s="1"/>
      <c r="EK24" s="1"/>
      <c r="EL24" s="2"/>
      <c r="EM24" s="1"/>
      <c r="EN24" s="51">
        <f>SUM(L24,R24,X24,AD24,AJ24,AP24,AV24,BB24,BH24,BN24,BT24,BZ24,CF24,CL24,CR24,CX24,DD24,DJ24,DP24,DV24,EB24,EH24)/BULLETIN!$B$38*100</f>
        <v>0</v>
      </c>
      <c r="EO24" s="52" t="str">
        <f t="shared" si="0"/>
        <v>10e</v>
      </c>
      <c r="EP24" s="51">
        <f>SUM(M24,S24,Y24,AE24,AK24,AQ24,AW24,BC24,BI24,BO24,BU24,CA24,CG24,CS24,CY24,DE24,DK24,DQ24,EC24,EI24,CM24,DW24)/BULLETIN!$C$38*100</f>
        <v>0</v>
      </c>
      <c r="EQ24" s="52" t="str">
        <f t="shared" si="1"/>
        <v>10e</v>
      </c>
      <c r="ER24" s="51">
        <f>SUM(N24,T24,Z24,AF24,AL24,AR24,AX24,BD24,BJ24,BP24,BV24,CB24,CH24,CT24,CZ24,DF24,DL24,DR24,ED24,EJ24,CN24,DX24)/BULLETIN!$D$38*100</f>
        <v>0</v>
      </c>
      <c r="ES24" s="52" t="str">
        <f t="shared" si="2"/>
        <v>10e</v>
      </c>
      <c r="ET24" s="51">
        <f>SUM(L24:N24,R24:T24,X24:Z24,AD24:AF24,AJ24:AL24,AP24:AR24,AV24:AX24,BB24:BD24,BH24:BJ24,BN24:BP24,BT24:BV24,BZ24:CB24,CF24:CH24,CR24:CT24,CX24:CZ24,DD24:DF24,DJ24:DL24,DP24:DR24,EB24:ED24,EH24:EJ24,CL24:CN24,DV24:DX24)/BULLETIN!$E$38*100</f>
        <v>0</v>
      </c>
      <c r="EU24" s="52" t="str">
        <f t="shared" si="3"/>
        <v>10e</v>
      </c>
      <c r="EV24" s="51">
        <f>SUM(O24,U24,AA24,AG24,AM24,AS24,AY24,BE24,BK24,BQ24,BW24,CC24,CI24,CU24,DA24,DG24,DM24,DS24,EE24,EK24,CO24,DY24)/BULLETIN!$F$38*100</f>
        <v>0</v>
      </c>
      <c r="EW24" s="52" t="str">
        <f t="shared" si="4"/>
        <v>10e</v>
      </c>
      <c r="EX24" s="51">
        <f>SUM(P24,V24,AB24,AH24,AN24,AT24,AZ24,BF24,BL24,BR24,BX24,CD24,CJ24,CV24,DB24,DH24,DN24,DS24,EF24,EL24,CP24,DZ24)/BULLETIN!$G$38*100</f>
        <v>0</v>
      </c>
      <c r="EY24" s="52" t="str">
        <f t="shared" si="5"/>
        <v>10e</v>
      </c>
      <c r="EZ24" s="51">
        <f>SUM(Q24,W24,AC24,AI24,AO24,AU24,BA24,BG24,BM24,BS24,BY24,CE24,CK24,CW24,DC24,DI24,DO24,DU24,EG24,EM24,EA24,CQ24)/BULLETIN!$H$38*100</f>
        <v>0</v>
      </c>
      <c r="FA24" s="52" t="str">
        <f t="shared" si="6"/>
        <v>10e</v>
      </c>
      <c r="FB24" s="51">
        <f>SUM(O24:Q24,U24:W24,AA24:AC24,AG24:AI24,AM24:AO24,AS24:AU24,AY24:BA24,BE24:BG24,BK24:BM24,BQ24:BS24,BW24:BY24,CC24:CE24,CI24:CK24,CU24:CW24,DA24:DC24,DM24:DO24,DS24:DU24,EE24:EG24,EK24:EM24,DG24:DI24,CO24:CQ24,DY24:EA24)/BULLETIN!$I$38*100</f>
        <v>0</v>
      </c>
      <c r="FC24" s="52" t="str">
        <f t="shared" si="7"/>
        <v>10e</v>
      </c>
      <c r="FD24" s="51">
        <f>SUM(L24:EM24)/BULLETIN!$J$38*100</f>
        <v>0</v>
      </c>
      <c r="FE24" s="52" t="str">
        <f t="shared" si="8"/>
        <v>10e</v>
      </c>
    </row>
    <row r="25" spans="1:161" ht="15.5" x14ac:dyDescent="0.35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6"/>
      <c r="L25" s="8"/>
      <c r="M25" s="1"/>
      <c r="N25" s="1"/>
      <c r="O25" s="1"/>
      <c r="P25" s="1"/>
      <c r="Q25" s="9"/>
      <c r="R25" s="10"/>
      <c r="S25" s="1"/>
      <c r="T25" s="1"/>
      <c r="U25" s="1"/>
      <c r="V25" s="2"/>
      <c r="W25" s="18"/>
      <c r="X25" s="8"/>
      <c r="Y25" s="1"/>
      <c r="Z25" s="1"/>
      <c r="AA25" s="1"/>
      <c r="AB25" s="1"/>
      <c r="AC25" s="9"/>
      <c r="AD25" s="8"/>
      <c r="AE25" s="1"/>
      <c r="AF25" s="1"/>
      <c r="AG25" s="1"/>
      <c r="AH25" s="1"/>
      <c r="AI25" s="9"/>
      <c r="AJ25" s="10"/>
      <c r="AK25" s="1"/>
      <c r="AL25" s="1"/>
      <c r="AM25" s="1"/>
      <c r="AN25" s="2"/>
      <c r="AO25" s="18"/>
      <c r="AP25" s="8"/>
      <c r="AQ25" s="1"/>
      <c r="AR25" s="1"/>
      <c r="AS25" s="2"/>
      <c r="AT25" s="1"/>
      <c r="AU25" s="9"/>
      <c r="AV25" s="8"/>
      <c r="AW25" s="1"/>
      <c r="AX25" s="1"/>
      <c r="AY25" s="2"/>
      <c r="AZ25" s="1"/>
      <c r="BA25" s="9"/>
      <c r="BB25" s="10"/>
      <c r="BC25" s="1"/>
      <c r="BD25" s="1"/>
      <c r="BE25" s="1"/>
      <c r="BF25" s="2"/>
      <c r="BG25" s="1"/>
      <c r="BH25" s="10"/>
      <c r="BI25" s="1"/>
      <c r="BJ25" s="1"/>
      <c r="BK25" s="2"/>
      <c r="BL25" s="1"/>
      <c r="BM25" s="9"/>
      <c r="BN25" s="10"/>
      <c r="BO25" s="1"/>
      <c r="BP25" s="1"/>
      <c r="BQ25" s="1"/>
      <c r="BR25" s="2"/>
      <c r="BS25" s="18"/>
      <c r="BT25" s="8"/>
      <c r="BU25" s="1"/>
      <c r="BV25" s="1"/>
      <c r="BW25" s="2"/>
      <c r="BX25" s="1"/>
      <c r="BY25" s="9"/>
      <c r="BZ25" s="10"/>
      <c r="CA25" s="1"/>
      <c r="CB25" s="1"/>
      <c r="CC25" s="1"/>
      <c r="CD25" s="2"/>
      <c r="CE25" s="18"/>
      <c r="CF25" s="10"/>
      <c r="CG25" s="1"/>
      <c r="CH25" s="1"/>
      <c r="CI25" s="1"/>
      <c r="CJ25" s="2"/>
      <c r="CK25" s="18"/>
      <c r="CL25" s="10"/>
      <c r="CM25" s="1"/>
      <c r="CN25" s="1"/>
      <c r="CO25" s="1"/>
      <c r="CP25" s="2"/>
      <c r="CQ25" s="18"/>
      <c r="CR25" s="10"/>
      <c r="CS25" s="1"/>
      <c r="CT25" s="1"/>
      <c r="CU25" s="1"/>
      <c r="CV25" s="2"/>
      <c r="CW25" s="18"/>
      <c r="CX25" s="8"/>
      <c r="CY25" s="1"/>
      <c r="CZ25" s="1"/>
      <c r="DA25" s="1"/>
      <c r="DB25" s="2"/>
      <c r="DC25" s="18"/>
      <c r="DD25" s="8"/>
      <c r="DE25" s="1"/>
      <c r="DF25" s="1"/>
      <c r="DG25" s="1"/>
      <c r="DH25" s="1"/>
      <c r="DI25" s="2"/>
      <c r="DJ25" s="60"/>
      <c r="DK25" s="1"/>
      <c r="DL25" s="1"/>
      <c r="DM25" s="1"/>
      <c r="DN25" s="1"/>
      <c r="DO25" s="61"/>
      <c r="DP25" s="10"/>
      <c r="DQ25" s="1"/>
      <c r="DR25" s="1"/>
      <c r="DS25" s="1"/>
      <c r="DT25" s="1"/>
      <c r="DU25" s="61"/>
      <c r="DV25" s="60"/>
      <c r="DW25" s="1"/>
      <c r="DX25" s="1"/>
      <c r="DY25" s="1"/>
      <c r="DZ25" s="1"/>
      <c r="EA25" s="61"/>
      <c r="EB25" s="10"/>
      <c r="EC25" s="1"/>
      <c r="ED25" s="1"/>
      <c r="EE25" s="1"/>
      <c r="EF25" s="1"/>
      <c r="EG25" s="61"/>
      <c r="EH25" s="10"/>
      <c r="EI25" s="1"/>
      <c r="EJ25" s="1"/>
      <c r="EK25" s="1"/>
      <c r="EL25" s="2"/>
      <c r="EM25" s="1"/>
      <c r="EN25" s="51">
        <f>SUM(L25,R25,X25,AD25,AJ25,AP25,AV25,BB25,BH25,BN25,BT25,BZ25,CF25,CL25,CR25,CX25,DD25,DJ25,DP25,DV25,EB25,EH25)/BULLETIN!$B$38*100</f>
        <v>0</v>
      </c>
      <c r="EO25" s="52" t="str">
        <f t="shared" si="0"/>
        <v>10e</v>
      </c>
      <c r="EP25" s="51">
        <f>SUM(M25,S25,Y25,AE25,AK25,AQ25,AW25,BC25,BI25,BO25,BU25,CA25,CG25,CS25,CY25,DE25,DK25,DQ25,EC25,EI25,CM25,DW25)/BULLETIN!$C$38*100</f>
        <v>0</v>
      </c>
      <c r="EQ25" s="52" t="str">
        <f t="shared" si="1"/>
        <v>10e</v>
      </c>
      <c r="ER25" s="51">
        <f>SUM(N25,T25,Z25,AF25,AL25,AR25,AX25,BD25,BJ25,BP25,BV25,CB25,CH25,CT25,CZ25,DF25,DL25,DR25,ED25,EJ25,CN25,DX25)/BULLETIN!$D$38*100</f>
        <v>0</v>
      </c>
      <c r="ES25" s="52" t="str">
        <f t="shared" si="2"/>
        <v>10e</v>
      </c>
      <c r="ET25" s="51">
        <f>SUM(L25:N25,R25:T25,X25:Z25,AD25:AF25,AJ25:AL25,AP25:AR25,AV25:AX25,BB25:BD25,BH25:BJ25,BN25:BP25,BT25:BV25,BZ25:CB25,CF25:CH25,CR25:CT25,CX25:CZ25,DD25:DF25,DJ25:DL25,DP25:DR25,EB25:ED25,EH25:EJ25,CL25:CN25,DV25:DX25)/BULLETIN!$E$38*100</f>
        <v>0</v>
      </c>
      <c r="EU25" s="52" t="str">
        <f t="shared" si="3"/>
        <v>10e</v>
      </c>
      <c r="EV25" s="51">
        <f>SUM(O25,U25,AA25,AG25,AM25,AS25,AY25,BE25,BK25,BQ25,BW25,CC25,CI25,CU25,DA25,DG25,DM25,DS25,EE25,EK25,CO25,DY25)/BULLETIN!$F$38*100</f>
        <v>0</v>
      </c>
      <c r="EW25" s="52" t="str">
        <f t="shared" si="4"/>
        <v>10e</v>
      </c>
      <c r="EX25" s="51">
        <f>SUM(P25,V25,AB25,AH25,AN25,AT25,AZ25,BF25,BL25,BR25,BX25,CD25,CJ25,CV25,DB25,DH25,DN25,DS25,EF25,EL25,CP25,DZ25)/BULLETIN!$G$38*100</f>
        <v>0</v>
      </c>
      <c r="EY25" s="52" t="str">
        <f t="shared" si="5"/>
        <v>10e</v>
      </c>
      <c r="EZ25" s="51">
        <f>SUM(Q25,W25,AC25,AI25,AO25,AU25,BA25,BG25,BM25,BS25,BY25,CE25,CK25,CW25,DC25,DI25,DO25,DU25,EG25,EM25,EA25,CQ25)/BULLETIN!$H$38*100</f>
        <v>0</v>
      </c>
      <c r="FA25" s="52" t="str">
        <f t="shared" si="6"/>
        <v>10e</v>
      </c>
      <c r="FB25" s="51">
        <f>SUM(O25:Q25,U25:W25,AA25:AC25,AG25:AI25,AM25:AO25,AS25:AU25,AY25:BA25,BE25:BG25,BK25:BM25,BQ25:BS25,BW25:BY25,CC25:CE25,CI25:CK25,CU25:CW25,DA25:DC25,DM25:DO25,DS25:DU25,EE25:EG25,EK25:EM25,DG25:DI25,CO25:CQ25,DY25:EA25)/BULLETIN!$I$38*100</f>
        <v>0</v>
      </c>
      <c r="FC25" s="52" t="str">
        <f t="shared" si="7"/>
        <v>10e</v>
      </c>
      <c r="FD25" s="51">
        <f>SUM(L25:EM25)/BULLETIN!$J$38*100</f>
        <v>0</v>
      </c>
      <c r="FE25" s="52" t="str">
        <f t="shared" si="8"/>
        <v>10e</v>
      </c>
    </row>
    <row r="26" spans="1:161" ht="15.5" x14ac:dyDescent="0.35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6"/>
      <c r="L26" s="8"/>
      <c r="M26" s="1"/>
      <c r="N26" s="1"/>
      <c r="O26" s="1"/>
      <c r="P26" s="1"/>
      <c r="Q26" s="9"/>
      <c r="R26" s="10"/>
      <c r="S26" s="1"/>
      <c r="T26" s="1"/>
      <c r="U26" s="1"/>
      <c r="V26" s="2"/>
      <c r="W26" s="18"/>
      <c r="X26" s="8"/>
      <c r="Y26" s="1"/>
      <c r="Z26" s="1"/>
      <c r="AA26" s="1"/>
      <c r="AB26" s="1"/>
      <c r="AC26" s="9"/>
      <c r="AD26" s="8"/>
      <c r="AE26" s="1"/>
      <c r="AF26" s="1"/>
      <c r="AG26" s="1"/>
      <c r="AH26" s="1"/>
      <c r="AI26" s="9"/>
      <c r="AJ26" s="10"/>
      <c r="AK26" s="1"/>
      <c r="AL26" s="1"/>
      <c r="AM26" s="1"/>
      <c r="AN26" s="2"/>
      <c r="AO26" s="18"/>
      <c r="AP26" s="8"/>
      <c r="AQ26" s="1"/>
      <c r="AR26" s="1"/>
      <c r="AS26" s="2"/>
      <c r="AT26" s="1"/>
      <c r="AU26" s="9"/>
      <c r="AV26" s="8"/>
      <c r="AW26" s="1"/>
      <c r="AX26" s="1"/>
      <c r="AY26" s="2"/>
      <c r="AZ26" s="1"/>
      <c r="BA26" s="9"/>
      <c r="BB26" s="10"/>
      <c r="BC26" s="1"/>
      <c r="BD26" s="1"/>
      <c r="BE26" s="1"/>
      <c r="BF26" s="2"/>
      <c r="BG26" s="1"/>
      <c r="BH26" s="10"/>
      <c r="BI26" s="1"/>
      <c r="BJ26" s="1"/>
      <c r="BK26" s="2"/>
      <c r="BL26" s="1"/>
      <c r="BM26" s="9"/>
      <c r="BN26" s="10"/>
      <c r="BO26" s="1"/>
      <c r="BP26" s="1"/>
      <c r="BQ26" s="1"/>
      <c r="BR26" s="2"/>
      <c r="BS26" s="18"/>
      <c r="BT26" s="8"/>
      <c r="BU26" s="1"/>
      <c r="BV26" s="1"/>
      <c r="BW26" s="2"/>
      <c r="BX26" s="1"/>
      <c r="BY26" s="9"/>
      <c r="BZ26" s="10"/>
      <c r="CA26" s="1"/>
      <c r="CB26" s="1"/>
      <c r="CC26" s="1"/>
      <c r="CD26" s="2"/>
      <c r="CE26" s="18"/>
      <c r="CF26" s="10"/>
      <c r="CG26" s="1"/>
      <c r="CH26" s="1"/>
      <c r="CI26" s="1"/>
      <c r="CJ26" s="2"/>
      <c r="CK26" s="18"/>
      <c r="CL26" s="10"/>
      <c r="CM26" s="1"/>
      <c r="CN26" s="1"/>
      <c r="CO26" s="1"/>
      <c r="CP26" s="2"/>
      <c r="CQ26" s="18"/>
      <c r="CR26" s="10"/>
      <c r="CS26" s="1"/>
      <c r="CT26" s="1"/>
      <c r="CU26" s="1"/>
      <c r="CV26" s="2"/>
      <c r="CW26" s="18"/>
      <c r="CX26" s="8"/>
      <c r="CY26" s="1"/>
      <c r="CZ26" s="1"/>
      <c r="DA26" s="1"/>
      <c r="DB26" s="2"/>
      <c r="DC26" s="18"/>
      <c r="DD26" s="8"/>
      <c r="DE26" s="1"/>
      <c r="DF26" s="1"/>
      <c r="DG26" s="1"/>
      <c r="DH26" s="1"/>
      <c r="DI26" s="2"/>
      <c r="DJ26" s="60"/>
      <c r="DK26" s="1"/>
      <c r="DL26" s="1"/>
      <c r="DM26" s="1"/>
      <c r="DN26" s="1"/>
      <c r="DO26" s="61"/>
      <c r="DP26" s="10"/>
      <c r="DQ26" s="1"/>
      <c r="DR26" s="1"/>
      <c r="DS26" s="1"/>
      <c r="DT26" s="1"/>
      <c r="DU26" s="61"/>
      <c r="DV26" s="60"/>
      <c r="DW26" s="1"/>
      <c r="DX26" s="1"/>
      <c r="DY26" s="1"/>
      <c r="DZ26" s="1"/>
      <c r="EA26" s="61"/>
      <c r="EB26" s="10"/>
      <c r="EC26" s="1"/>
      <c r="ED26" s="1"/>
      <c r="EE26" s="1"/>
      <c r="EF26" s="1"/>
      <c r="EG26" s="61"/>
      <c r="EH26" s="10"/>
      <c r="EI26" s="1"/>
      <c r="EJ26" s="1"/>
      <c r="EK26" s="1"/>
      <c r="EL26" s="2"/>
      <c r="EM26" s="1"/>
      <c r="EN26" s="51">
        <f>SUM(L26,R26,X26,AD26,AJ26,AP26,AV26,BB26,BH26,BN26,BT26,BZ26,CF26,CL26,CR26,CX26,DD26,DJ26,DP26,DV26,EB26,EH26)/BULLETIN!$B$38*100</f>
        <v>0</v>
      </c>
      <c r="EO26" s="52" t="str">
        <f t="shared" si="0"/>
        <v>10e</v>
      </c>
      <c r="EP26" s="51">
        <f>SUM(M26,S26,Y26,AE26,AK26,AQ26,AW26,BC26,BI26,BO26,BU26,CA26,CG26,CS26,CY26,DE26,DK26,DQ26,EC26,EI26,CM26,DW26)/BULLETIN!$C$38*100</f>
        <v>0</v>
      </c>
      <c r="EQ26" s="52" t="str">
        <f t="shared" si="1"/>
        <v>10e</v>
      </c>
      <c r="ER26" s="51">
        <f>SUM(N26,T26,Z26,AF26,AL26,AR26,AX26,BD26,BJ26,BP26,BV26,CB26,CH26,CT26,CZ26,DF26,DL26,DR26,ED26,EJ26,CN26,DX26)/BULLETIN!$D$38*100</f>
        <v>0</v>
      </c>
      <c r="ES26" s="52" t="str">
        <f t="shared" si="2"/>
        <v>10e</v>
      </c>
      <c r="ET26" s="51">
        <f>SUM(L26:N26,R26:T26,X26:Z26,AD26:AF26,AJ26:AL26,AP26:AR26,AV26:AX26,BB26:BD26,BH26:BJ26,BN26:BP26,BT26:BV26,BZ26:CB26,CF26:CH26,CR26:CT26,CX26:CZ26,DD26:DF26,DJ26:DL26,DP26:DR26,EB26:ED26,EH26:EJ26,CL26:CN26,DV26:DX26)/BULLETIN!$E$38*100</f>
        <v>0</v>
      </c>
      <c r="EU26" s="52" t="str">
        <f t="shared" si="3"/>
        <v>10e</v>
      </c>
      <c r="EV26" s="51">
        <f>SUM(O26,U26,AA26,AG26,AM26,AS26,AY26,BE26,BK26,BQ26,BW26,CC26,CI26,CU26,DA26,DG26,DM26,DS26,EE26,EK26,CO26,DY26)/BULLETIN!$F$38*100</f>
        <v>0</v>
      </c>
      <c r="EW26" s="52" t="str">
        <f t="shared" si="4"/>
        <v>10e</v>
      </c>
      <c r="EX26" s="51">
        <f>SUM(P26,V26,AB26,AH26,AN26,AT26,AZ26,BF26,BL26,BR26,BX26,CD26,CJ26,CV26,DB26,DH26,DN26,DS26,EF26,EL26,CP26,DZ26)/BULLETIN!$G$38*100</f>
        <v>0</v>
      </c>
      <c r="EY26" s="52" t="str">
        <f t="shared" si="5"/>
        <v>10e</v>
      </c>
      <c r="EZ26" s="51">
        <f>SUM(Q26,W26,AC26,AI26,AO26,AU26,BA26,BG26,BM26,BS26,BY26,CE26,CK26,CW26,DC26,DI26,DO26,DU26,EG26,EM26,EA26,CQ26)/BULLETIN!$H$38*100</f>
        <v>0</v>
      </c>
      <c r="FA26" s="52" t="str">
        <f t="shared" si="6"/>
        <v>10e</v>
      </c>
      <c r="FB26" s="51">
        <f>SUM(O26:Q26,U26:W26,AA26:AC26,AG26:AI26,AM26:AO26,AS26:AU26,AY26:BA26,BE26:BG26,BK26:BM26,BQ26:BS26,BW26:BY26,CC26:CE26,CI26:CK26,CU26:CW26,DA26:DC26,DM26:DO26,DS26:DU26,EE26:EG26,EK26:EM26,DG26:DI26,CO26:CQ26,DY26:EA26)/BULLETIN!$I$38*100</f>
        <v>0</v>
      </c>
      <c r="FC26" s="52" t="str">
        <f t="shared" si="7"/>
        <v>10e</v>
      </c>
      <c r="FD26" s="51">
        <f>SUM(L26:EM26)/BULLETIN!$J$38*100</f>
        <v>0</v>
      </c>
      <c r="FE26" s="52" t="str">
        <f t="shared" si="8"/>
        <v>10e</v>
      </c>
    </row>
    <row r="27" spans="1:161" ht="15.5" x14ac:dyDescent="0.35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6"/>
      <c r="L27" s="8"/>
      <c r="M27" s="1"/>
      <c r="N27" s="1"/>
      <c r="O27" s="1"/>
      <c r="P27" s="1"/>
      <c r="Q27" s="9"/>
      <c r="R27" s="10"/>
      <c r="S27" s="1"/>
      <c r="T27" s="1"/>
      <c r="U27" s="1"/>
      <c r="V27" s="2"/>
      <c r="W27" s="18"/>
      <c r="X27" s="8"/>
      <c r="Y27" s="1"/>
      <c r="Z27" s="1"/>
      <c r="AA27" s="1"/>
      <c r="AB27" s="1"/>
      <c r="AC27" s="9"/>
      <c r="AD27" s="8"/>
      <c r="AE27" s="1"/>
      <c r="AF27" s="1"/>
      <c r="AG27" s="1"/>
      <c r="AH27" s="1"/>
      <c r="AI27" s="9"/>
      <c r="AJ27" s="10"/>
      <c r="AK27" s="1"/>
      <c r="AL27" s="1"/>
      <c r="AM27" s="1"/>
      <c r="AN27" s="2"/>
      <c r="AO27" s="18"/>
      <c r="AP27" s="8"/>
      <c r="AQ27" s="1"/>
      <c r="AR27" s="1"/>
      <c r="AS27" s="2"/>
      <c r="AT27" s="1"/>
      <c r="AU27" s="9"/>
      <c r="AV27" s="8"/>
      <c r="AW27" s="1"/>
      <c r="AX27" s="1"/>
      <c r="AY27" s="2"/>
      <c r="AZ27" s="1"/>
      <c r="BA27" s="9"/>
      <c r="BB27" s="10"/>
      <c r="BC27" s="1"/>
      <c r="BD27" s="1"/>
      <c r="BE27" s="1"/>
      <c r="BF27" s="2"/>
      <c r="BG27" s="1"/>
      <c r="BH27" s="10"/>
      <c r="BI27" s="1"/>
      <c r="BJ27" s="1"/>
      <c r="BK27" s="2"/>
      <c r="BL27" s="1"/>
      <c r="BM27" s="9"/>
      <c r="BN27" s="10"/>
      <c r="BO27" s="1"/>
      <c r="BP27" s="1"/>
      <c r="BQ27" s="1"/>
      <c r="BR27" s="2"/>
      <c r="BS27" s="18"/>
      <c r="BT27" s="8"/>
      <c r="BU27" s="1"/>
      <c r="BV27" s="1"/>
      <c r="BW27" s="2"/>
      <c r="BX27" s="1"/>
      <c r="BY27" s="9"/>
      <c r="BZ27" s="10"/>
      <c r="CA27" s="1"/>
      <c r="CB27" s="1"/>
      <c r="CC27" s="1"/>
      <c r="CD27" s="2"/>
      <c r="CE27" s="18"/>
      <c r="CF27" s="10"/>
      <c r="CG27" s="1"/>
      <c r="CH27" s="1"/>
      <c r="CI27" s="1"/>
      <c r="CJ27" s="2"/>
      <c r="CK27" s="18"/>
      <c r="CL27" s="10"/>
      <c r="CM27" s="1"/>
      <c r="CN27" s="1"/>
      <c r="CO27" s="1"/>
      <c r="CP27" s="2"/>
      <c r="CQ27" s="18"/>
      <c r="CR27" s="10"/>
      <c r="CS27" s="1"/>
      <c r="CT27" s="1"/>
      <c r="CU27" s="1"/>
      <c r="CV27" s="2"/>
      <c r="CW27" s="18"/>
      <c r="CX27" s="8"/>
      <c r="CY27" s="1"/>
      <c r="CZ27" s="1"/>
      <c r="DA27" s="1"/>
      <c r="DB27" s="2"/>
      <c r="DC27" s="18"/>
      <c r="DD27" s="8"/>
      <c r="DE27" s="1"/>
      <c r="DF27" s="1"/>
      <c r="DG27" s="1"/>
      <c r="DH27" s="1"/>
      <c r="DI27" s="2"/>
      <c r="DJ27" s="60"/>
      <c r="DK27" s="1"/>
      <c r="DL27" s="1"/>
      <c r="DM27" s="1"/>
      <c r="DN27" s="1"/>
      <c r="DO27" s="61"/>
      <c r="DP27" s="10"/>
      <c r="DQ27" s="1"/>
      <c r="DR27" s="1"/>
      <c r="DS27" s="1"/>
      <c r="DT27" s="1"/>
      <c r="DU27" s="61"/>
      <c r="DV27" s="60"/>
      <c r="DW27" s="1"/>
      <c r="DX27" s="1"/>
      <c r="DY27" s="1"/>
      <c r="DZ27" s="1"/>
      <c r="EA27" s="61"/>
      <c r="EB27" s="10"/>
      <c r="EC27" s="1"/>
      <c r="ED27" s="1"/>
      <c r="EE27" s="1"/>
      <c r="EF27" s="1"/>
      <c r="EG27" s="61"/>
      <c r="EH27" s="10"/>
      <c r="EI27" s="1"/>
      <c r="EJ27" s="1"/>
      <c r="EK27" s="1"/>
      <c r="EL27" s="2"/>
      <c r="EM27" s="1"/>
      <c r="EN27" s="51">
        <f>SUM(L27,R27,X27,AD27,AJ27,AP27,AV27,BB27,BH27,BN27,BT27,BZ27,CF27,CL27,CR27,CX27,DD27,DJ27,DP27,DV27,EB27,EH27)/BULLETIN!$B$38*100</f>
        <v>0</v>
      </c>
      <c r="EO27" s="52" t="str">
        <f t="shared" si="0"/>
        <v>10e</v>
      </c>
      <c r="EP27" s="51">
        <f>SUM(M27,S27,Y27,AE27,AK27,AQ27,AW27,BC27,BI27,BO27,BU27,CA27,CG27,CS27,CY27,DE27,DK27,DQ27,EC27,EI27,CM27,DW27)/BULLETIN!$C$38*100</f>
        <v>0</v>
      </c>
      <c r="EQ27" s="52" t="str">
        <f t="shared" si="1"/>
        <v>10e</v>
      </c>
      <c r="ER27" s="51">
        <f>SUM(N27,T27,Z27,AF27,AL27,AR27,AX27,BD27,BJ27,BP27,BV27,CB27,CH27,CT27,CZ27,DF27,DL27,DR27,ED27,EJ27,CN27,DX27)/BULLETIN!$D$38*100</f>
        <v>0</v>
      </c>
      <c r="ES27" s="52" t="str">
        <f t="shared" si="2"/>
        <v>10e</v>
      </c>
      <c r="ET27" s="51">
        <f>SUM(L27:N27,R27:T27,X27:Z27,AD27:AF27,AJ27:AL27,AP27:AR27,AV27:AX27,BB27:BD27,BH27:BJ27,BN27:BP27,BT27:BV27,BZ27:CB27,CF27:CH27,CR27:CT27,CX27:CZ27,DD27:DF27,DJ27:DL27,DP27:DR27,EB27:ED27,EH27:EJ27,CL27:CN27,DV27:DX27)/BULLETIN!$E$38*100</f>
        <v>0</v>
      </c>
      <c r="EU27" s="52" t="str">
        <f t="shared" si="3"/>
        <v>10e</v>
      </c>
      <c r="EV27" s="51">
        <f>SUM(O27,U27,AA27,AG27,AM27,AS27,AY27,BE27,BK27,BQ27,BW27,CC27,CI27,CU27,DA27,DG27,DM27,DS27,EE27,EK27,CO27,DY27)/BULLETIN!$F$38*100</f>
        <v>0</v>
      </c>
      <c r="EW27" s="52" t="str">
        <f t="shared" si="4"/>
        <v>10e</v>
      </c>
      <c r="EX27" s="51">
        <f>SUM(P27,V27,AB27,AH27,AN27,AT27,AZ27,BF27,BL27,BR27,BX27,CD27,CJ27,CV27,DB27,DH27,DN27,DS27,EF27,EL27,CP27,DZ27)/BULLETIN!$G$38*100</f>
        <v>0</v>
      </c>
      <c r="EY27" s="52" t="str">
        <f t="shared" si="5"/>
        <v>10e</v>
      </c>
      <c r="EZ27" s="51">
        <f>SUM(Q27,W27,AC27,AI27,AO27,AU27,BA27,BG27,BM27,BS27,BY27,CE27,CK27,CW27,DC27,DI27,DO27,DU27,EG27,EM27,EA27,CQ27)/BULLETIN!$H$38*100</f>
        <v>0</v>
      </c>
      <c r="FA27" s="52" t="str">
        <f t="shared" si="6"/>
        <v>10e</v>
      </c>
      <c r="FB27" s="51">
        <f>SUM(O27:Q27,U27:W27,AA27:AC27,AG27:AI27,AM27:AO27,AS27:AU27,AY27:BA27,BE27:BG27,BK27:BM27,BQ27:BS27,BW27:BY27,CC27:CE27,CI27:CK27,CU27:CW27,DA27:DC27,DM27:DO27,DS27:DU27,EE27:EG27,EK27:EM27,DG27:DI27,CO27:CQ27,DY27:EA27)/BULLETIN!$I$38*100</f>
        <v>0</v>
      </c>
      <c r="FC27" s="52" t="str">
        <f t="shared" si="7"/>
        <v>10e</v>
      </c>
      <c r="FD27" s="51">
        <f>SUM(L27:EM27)/BULLETIN!$J$38*100</f>
        <v>0</v>
      </c>
      <c r="FE27" s="52" t="str">
        <f t="shared" si="8"/>
        <v>10e</v>
      </c>
    </row>
    <row r="28" spans="1:161" ht="15.5" x14ac:dyDescent="0.35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6"/>
      <c r="L28" s="8"/>
      <c r="M28" s="1"/>
      <c r="N28" s="1"/>
      <c r="O28" s="1"/>
      <c r="P28" s="1"/>
      <c r="Q28" s="9"/>
      <c r="R28" s="10"/>
      <c r="S28" s="1"/>
      <c r="T28" s="1"/>
      <c r="U28" s="1"/>
      <c r="V28" s="2"/>
      <c r="W28" s="18"/>
      <c r="X28" s="8"/>
      <c r="Y28" s="1"/>
      <c r="Z28" s="1"/>
      <c r="AA28" s="1"/>
      <c r="AB28" s="1"/>
      <c r="AC28" s="9"/>
      <c r="AD28" s="8"/>
      <c r="AE28" s="1"/>
      <c r="AF28" s="1"/>
      <c r="AG28" s="1"/>
      <c r="AH28" s="1"/>
      <c r="AI28" s="9"/>
      <c r="AJ28" s="10"/>
      <c r="AK28" s="1"/>
      <c r="AL28" s="1"/>
      <c r="AM28" s="1"/>
      <c r="AN28" s="2"/>
      <c r="AO28" s="18"/>
      <c r="AP28" s="8"/>
      <c r="AQ28" s="1"/>
      <c r="AR28" s="1"/>
      <c r="AS28" s="2"/>
      <c r="AT28" s="1"/>
      <c r="AU28" s="9"/>
      <c r="AV28" s="8"/>
      <c r="AW28" s="1"/>
      <c r="AX28" s="1"/>
      <c r="AY28" s="2"/>
      <c r="AZ28" s="1"/>
      <c r="BA28" s="9"/>
      <c r="BB28" s="10"/>
      <c r="BC28" s="1"/>
      <c r="BD28" s="1"/>
      <c r="BE28" s="1"/>
      <c r="BF28" s="2"/>
      <c r="BG28" s="1"/>
      <c r="BH28" s="10"/>
      <c r="BI28" s="1"/>
      <c r="BJ28" s="1"/>
      <c r="BK28" s="2"/>
      <c r="BL28" s="1"/>
      <c r="BM28" s="9"/>
      <c r="BN28" s="10"/>
      <c r="BO28" s="1"/>
      <c r="BP28" s="1"/>
      <c r="BQ28" s="1"/>
      <c r="BR28" s="2"/>
      <c r="BS28" s="18"/>
      <c r="BT28" s="8"/>
      <c r="BU28" s="1"/>
      <c r="BV28" s="1"/>
      <c r="BW28" s="2"/>
      <c r="BX28" s="1"/>
      <c r="BY28" s="9"/>
      <c r="BZ28" s="10"/>
      <c r="CA28" s="1"/>
      <c r="CB28" s="1"/>
      <c r="CC28" s="1"/>
      <c r="CD28" s="2"/>
      <c r="CE28" s="18"/>
      <c r="CF28" s="10"/>
      <c r="CG28" s="1"/>
      <c r="CH28" s="1"/>
      <c r="CI28" s="1"/>
      <c r="CJ28" s="2"/>
      <c r="CK28" s="18"/>
      <c r="CL28" s="10"/>
      <c r="CM28" s="1"/>
      <c r="CN28" s="1"/>
      <c r="CO28" s="1"/>
      <c r="CP28" s="2"/>
      <c r="CQ28" s="18"/>
      <c r="CR28" s="10"/>
      <c r="CS28" s="1"/>
      <c r="CT28" s="1"/>
      <c r="CU28" s="1"/>
      <c r="CV28" s="2"/>
      <c r="CW28" s="18"/>
      <c r="CX28" s="8"/>
      <c r="CY28" s="1"/>
      <c r="CZ28" s="1"/>
      <c r="DA28" s="1"/>
      <c r="DB28" s="2"/>
      <c r="DC28" s="18"/>
      <c r="DD28" s="8"/>
      <c r="DE28" s="1"/>
      <c r="DF28" s="1"/>
      <c r="DG28" s="1"/>
      <c r="DH28" s="1"/>
      <c r="DI28" s="2"/>
      <c r="DJ28" s="60"/>
      <c r="DK28" s="1"/>
      <c r="DL28" s="1"/>
      <c r="DM28" s="1"/>
      <c r="DN28" s="1"/>
      <c r="DO28" s="61"/>
      <c r="DP28" s="10"/>
      <c r="DQ28" s="1"/>
      <c r="DR28" s="1"/>
      <c r="DS28" s="1"/>
      <c r="DT28" s="1"/>
      <c r="DU28" s="61"/>
      <c r="DV28" s="60"/>
      <c r="DW28" s="1"/>
      <c r="DX28" s="1"/>
      <c r="DY28" s="1"/>
      <c r="DZ28" s="1"/>
      <c r="EA28" s="61"/>
      <c r="EB28" s="10"/>
      <c r="EC28" s="1"/>
      <c r="ED28" s="1"/>
      <c r="EE28" s="1"/>
      <c r="EF28" s="1"/>
      <c r="EG28" s="61"/>
      <c r="EH28" s="10"/>
      <c r="EI28" s="1"/>
      <c r="EJ28" s="1"/>
      <c r="EK28" s="1"/>
      <c r="EL28" s="2"/>
      <c r="EM28" s="1"/>
      <c r="EN28" s="51">
        <f>SUM(L28,R28,X28,AD28,AJ28,AP28,AV28,BB28,BH28,BN28,BT28,BZ28,CF28,CL28,CR28,CX28,DD28,DJ28,DP28,DV28,EB28,EH28)/BULLETIN!$B$38*100</f>
        <v>0</v>
      </c>
      <c r="EO28" s="52" t="str">
        <f t="shared" si="0"/>
        <v>10e</v>
      </c>
      <c r="EP28" s="51">
        <f>SUM(M28,S28,Y28,AE28,AK28,AQ28,AW28,BC28,BI28,BO28,BU28,CA28,CG28,CS28,CY28,DE28,DK28,DQ28,EC28,EI28,CM28,DW28)/BULLETIN!$C$38*100</f>
        <v>0</v>
      </c>
      <c r="EQ28" s="52" t="str">
        <f t="shared" si="1"/>
        <v>10e</v>
      </c>
      <c r="ER28" s="51">
        <f>SUM(N28,T28,Z28,AF28,AL28,AR28,AX28,BD28,BJ28,BP28,BV28,CB28,CH28,CT28,CZ28,DF28,DL28,DR28,ED28,EJ28,CN28,DX28)/BULLETIN!$D$38*100</f>
        <v>0</v>
      </c>
      <c r="ES28" s="52" t="str">
        <f t="shared" si="2"/>
        <v>10e</v>
      </c>
      <c r="ET28" s="51">
        <f>SUM(L28:N28,R28:T28,X28:Z28,AD28:AF28,AJ28:AL28,AP28:AR28,AV28:AX28,BB28:BD28,BH28:BJ28,BN28:BP28,BT28:BV28,BZ28:CB28,CF28:CH28,CR28:CT28,CX28:CZ28,DD28:DF28,DJ28:DL28,DP28:DR28,EB28:ED28,EH28:EJ28,CL28:CN28,DV28:DX28)/BULLETIN!$E$38*100</f>
        <v>0</v>
      </c>
      <c r="EU28" s="52" t="str">
        <f t="shared" si="3"/>
        <v>10e</v>
      </c>
      <c r="EV28" s="51">
        <f>SUM(O28,U28,AA28,AG28,AM28,AS28,AY28,BE28,BK28,BQ28,BW28,CC28,CI28,CU28,DA28,DG28,DM28,DS28,EE28,EK28,CO28,DY28)/BULLETIN!$F$38*100</f>
        <v>0</v>
      </c>
      <c r="EW28" s="52" t="str">
        <f t="shared" si="4"/>
        <v>10e</v>
      </c>
      <c r="EX28" s="51">
        <f>SUM(P28,V28,AB28,AH28,AN28,AT28,AZ28,BF28,BL28,BR28,BX28,CD28,CJ28,CV28,DB28,DH28,DN28,DS28,EF28,EL28,CP28,DZ28)/BULLETIN!$G$38*100</f>
        <v>0</v>
      </c>
      <c r="EY28" s="52" t="str">
        <f t="shared" si="5"/>
        <v>10e</v>
      </c>
      <c r="EZ28" s="51">
        <f>SUM(Q28,W28,AC28,AI28,AO28,AU28,BA28,BG28,BM28,BS28,BY28,CE28,CK28,CW28,DC28,DI28,DO28,DU28,EG28,EM28,EA28,CQ28)/BULLETIN!$H$38*100</f>
        <v>0</v>
      </c>
      <c r="FA28" s="52" t="str">
        <f t="shared" si="6"/>
        <v>10e</v>
      </c>
      <c r="FB28" s="51">
        <f>SUM(O28:Q28,U28:W28,AA28:AC28,AG28:AI28,AM28:AO28,AS28:AU28,AY28:BA28,BE28:BG28,BK28:BM28,BQ28:BS28,BW28:BY28,CC28:CE28,CI28:CK28,CU28:CW28,DA28:DC28,DM28:DO28,DS28:DU28,EE28:EG28,EK28:EM28,DG28:DI28,CO28:CQ28,DY28:EA28)/BULLETIN!$I$38*100</f>
        <v>0</v>
      </c>
      <c r="FC28" s="52" t="str">
        <f t="shared" si="7"/>
        <v>10e</v>
      </c>
      <c r="FD28" s="51">
        <f>SUM(L28:EM28)/BULLETIN!$J$38*100</f>
        <v>0</v>
      </c>
      <c r="FE28" s="52" t="str">
        <f t="shared" si="8"/>
        <v>10e</v>
      </c>
    </row>
    <row r="29" spans="1:161" ht="15.5" x14ac:dyDescent="0.35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6"/>
      <c r="L29" s="8"/>
      <c r="M29" s="1"/>
      <c r="N29" s="1"/>
      <c r="O29" s="1"/>
      <c r="P29" s="1"/>
      <c r="Q29" s="9"/>
      <c r="R29" s="10"/>
      <c r="S29" s="1"/>
      <c r="T29" s="1"/>
      <c r="U29" s="1"/>
      <c r="V29" s="2"/>
      <c r="W29" s="18"/>
      <c r="X29" s="8"/>
      <c r="Y29" s="1"/>
      <c r="Z29" s="1"/>
      <c r="AA29" s="1"/>
      <c r="AB29" s="1"/>
      <c r="AC29" s="9"/>
      <c r="AD29" s="8"/>
      <c r="AE29" s="1"/>
      <c r="AF29" s="1"/>
      <c r="AG29" s="1"/>
      <c r="AH29" s="1"/>
      <c r="AI29" s="9"/>
      <c r="AJ29" s="10"/>
      <c r="AK29" s="1"/>
      <c r="AL29" s="1"/>
      <c r="AM29" s="1"/>
      <c r="AN29" s="2"/>
      <c r="AO29" s="18"/>
      <c r="AP29" s="8"/>
      <c r="AQ29" s="1"/>
      <c r="AR29" s="1"/>
      <c r="AS29" s="2"/>
      <c r="AT29" s="1"/>
      <c r="AU29" s="9"/>
      <c r="AV29" s="8"/>
      <c r="AW29" s="1"/>
      <c r="AX29" s="1"/>
      <c r="AY29" s="2"/>
      <c r="AZ29" s="1"/>
      <c r="BA29" s="9"/>
      <c r="BB29" s="10"/>
      <c r="BC29" s="1"/>
      <c r="BD29" s="1"/>
      <c r="BE29" s="1"/>
      <c r="BF29" s="2"/>
      <c r="BG29" s="1"/>
      <c r="BH29" s="10"/>
      <c r="BI29" s="1"/>
      <c r="BJ29" s="1"/>
      <c r="BK29" s="2"/>
      <c r="BL29" s="1"/>
      <c r="BM29" s="9"/>
      <c r="BN29" s="10"/>
      <c r="BO29" s="1"/>
      <c r="BP29" s="1"/>
      <c r="BQ29" s="1"/>
      <c r="BR29" s="2"/>
      <c r="BS29" s="18"/>
      <c r="BT29" s="8"/>
      <c r="BU29" s="1"/>
      <c r="BV29" s="1"/>
      <c r="BW29" s="2"/>
      <c r="BX29" s="1"/>
      <c r="BY29" s="9"/>
      <c r="BZ29" s="10"/>
      <c r="CA29" s="1"/>
      <c r="CB29" s="1"/>
      <c r="CC29" s="1"/>
      <c r="CD29" s="2"/>
      <c r="CE29" s="18"/>
      <c r="CF29" s="10"/>
      <c r="CG29" s="1"/>
      <c r="CH29" s="1"/>
      <c r="CI29" s="1"/>
      <c r="CJ29" s="2"/>
      <c r="CK29" s="18"/>
      <c r="CL29" s="10"/>
      <c r="CM29" s="1"/>
      <c r="CN29" s="1"/>
      <c r="CO29" s="1"/>
      <c r="CP29" s="2"/>
      <c r="CQ29" s="18"/>
      <c r="CR29" s="10"/>
      <c r="CS29" s="1"/>
      <c r="CT29" s="1"/>
      <c r="CU29" s="1"/>
      <c r="CV29" s="2"/>
      <c r="CW29" s="18"/>
      <c r="CX29" s="8"/>
      <c r="CY29" s="1"/>
      <c r="CZ29" s="1"/>
      <c r="DA29" s="1"/>
      <c r="DB29" s="2"/>
      <c r="DC29" s="18"/>
      <c r="DD29" s="8"/>
      <c r="DE29" s="1"/>
      <c r="DF29" s="1"/>
      <c r="DG29" s="1"/>
      <c r="DH29" s="1"/>
      <c r="DI29" s="2"/>
      <c r="DJ29" s="60"/>
      <c r="DK29" s="1"/>
      <c r="DL29" s="1"/>
      <c r="DM29" s="1"/>
      <c r="DN29" s="1"/>
      <c r="DO29" s="61"/>
      <c r="DP29" s="10"/>
      <c r="DQ29" s="1"/>
      <c r="DR29" s="1"/>
      <c r="DS29" s="1"/>
      <c r="DT29" s="1"/>
      <c r="DU29" s="61"/>
      <c r="DV29" s="60"/>
      <c r="DW29" s="1"/>
      <c r="DX29" s="1"/>
      <c r="DY29" s="1"/>
      <c r="DZ29" s="1"/>
      <c r="EA29" s="61"/>
      <c r="EB29" s="10"/>
      <c r="EC29" s="1"/>
      <c r="ED29" s="1"/>
      <c r="EE29" s="1"/>
      <c r="EF29" s="1"/>
      <c r="EG29" s="61"/>
      <c r="EH29" s="10"/>
      <c r="EI29" s="1"/>
      <c r="EJ29" s="1"/>
      <c r="EK29" s="1"/>
      <c r="EL29" s="2"/>
      <c r="EM29" s="1"/>
      <c r="EN29" s="51">
        <f>SUM(L29,R29,X29,AD29,AJ29,AP29,AV29,BB29,BH29,BN29,BT29,BZ29,CF29,CL29,CR29,CX29,DD29,DJ29,DP29,DV29,EB29,EH29)/BULLETIN!$B$38*100</f>
        <v>0</v>
      </c>
      <c r="EO29" s="52" t="str">
        <f t="shared" si="0"/>
        <v>10e</v>
      </c>
      <c r="EP29" s="51">
        <f>SUM(M29,S29,Y29,AE29,AK29,AQ29,AW29,BC29,BI29,BO29,BU29,CA29,CG29,CS29,CY29,DE29,DK29,DQ29,EC29,EI29,CM29,DW29)/BULLETIN!$C$38*100</f>
        <v>0</v>
      </c>
      <c r="EQ29" s="52" t="str">
        <f t="shared" si="1"/>
        <v>10e</v>
      </c>
      <c r="ER29" s="51">
        <f>SUM(N29,T29,Z29,AF29,AL29,AR29,AX29,BD29,BJ29,BP29,BV29,CB29,CH29,CT29,CZ29,DF29,DL29,DR29,ED29,EJ29,CN29,DX29)/BULLETIN!$D$38*100</f>
        <v>0</v>
      </c>
      <c r="ES29" s="52" t="str">
        <f t="shared" si="2"/>
        <v>10e</v>
      </c>
      <c r="ET29" s="51">
        <f>SUM(L29:N29,R29:T29,X29:Z29,AD29:AF29,AJ29:AL29,AP29:AR29,AV29:AX29,BB29:BD29,BH29:BJ29,BN29:BP29,BT29:BV29,BZ29:CB29,CF29:CH29,CR29:CT29,CX29:CZ29,DD29:DF29,DJ29:DL29,DP29:DR29,EB29:ED29,EH29:EJ29,CL29:CN29,DV29:DX29)/BULLETIN!$E$38*100</f>
        <v>0</v>
      </c>
      <c r="EU29" s="52" t="str">
        <f t="shared" si="3"/>
        <v>10e</v>
      </c>
      <c r="EV29" s="51">
        <f>SUM(O29,U29,AA29,AG29,AM29,AS29,AY29,BE29,BK29,BQ29,BW29,CC29,CI29,CU29,DA29,DG29,DM29,DS29,EE29,EK29,CO29,DY29)/BULLETIN!$F$38*100</f>
        <v>0</v>
      </c>
      <c r="EW29" s="52" t="str">
        <f t="shared" si="4"/>
        <v>10e</v>
      </c>
      <c r="EX29" s="51">
        <f>SUM(P29,V29,AB29,AH29,AN29,AT29,AZ29,BF29,BL29,BR29,BX29,CD29,CJ29,CV29,DB29,DH29,DN29,DS29,EF29,EL29,CP29,DZ29)/BULLETIN!$G$38*100</f>
        <v>0</v>
      </c>
      <c r="EY29" s="52" t="str">
        <f t="shared" si="5"/>
        <v>10e</v>
      </c>
      <c r="EZ29" s="51">
        <f>SUM(Q29,W29,AC29,AI29,AO29,AU29,BA29,BG29,BM29,BS29,BY29,CE29,CK29,CW29,DC29,DI29,DO29,DU29,EG29,EM29,EA29,CQ29)/BULLETIN!$H$38*100</f>
        <v>0</v>
      </c>
      <c r="FA29" s="52" t="str">
        <f t="shared" si="6"/>
        <v>10e</v>
      </c>
      <c r="FB29" s="51">
        <f>SUM(O29:Q29,U29:W29,AA29:AC29,AG29:AI29,AM29:AO29,AS29:AU29,AY29:BA29,BE29:BG29,BK29:BM29,BQ29:BS29,BW29:BY29,CC29:CE29,CI29:CK29,CU29:CW29,DA29:DC29,DM29:DO29,DS29:DU29,EE29:EG29,EK29:EM29,DG29:DI29,CO29:CQ29,DY29:EA29)/BULLETIN!$I$38*100</f>
        <v>0</v>
      </c>
      <c r="FC29" s="52" t="str">
        <f t="shared" si="7"/>
        <v>10e</v>
      </c>
      <c r="FD29" s="51">
        <f>SUM(L29:EM29)/BULLETIN!$J$38*100</f>
        <v>0</v>
      </c>
      <c r="FE29" s="52" t="str">
        <f t="shared" si="8"/>
        <v>10e</v>
      </c>
    </row>
    <row r="30" spans="1:161" ht="15.5" x14ac:dyDescent="0.35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6"/>
      <c r="L30" s="8"/>
      <c r="M30" s="1"/>
      <c r="N30" s="1"/>
      <c r="O30" s="1"/>
      <c r="P30" s="1"/>
      <c r="Q30" s="9"/>
      <c r="R30" s="10"/>
      <c r="S30" s="1"/>
      <c r="T30" s="1"/>
      <c r="U30" s="1"/>
      <c r="V30" s="2"/>
      <c r="W30" s="18"/>
      <c r="X30" s="8"/>
      <c r="Y30" s="1"/>
      <c r="Z30" s="1"/>
      <c r="AA30" s="1"/>
      <c r="AB30" s="1"/>
      <c r="AC30" s="9"/>
      <c r="AD30" s="8"/>
      <c r="AE30" s="1"/>
      <c r="AF30" s="1"/>
      <c r="AG30" s="1"/>
      <c r="AH30" s="1"/>
      <c r="AI30" s="9"/>
      <c r="AJ30" s="10"/>
      <c r="AK30" s="1"/>
      <c r="AL30" s="1"/>
      <c r="AM30" s="1"/>
      <c r="AN30" s="2"/>
      <c r="AO30" s="18"/>
      <c r="AP30" s="8"/>
      <c r="AQ30" s="1"/>
      <c r="AR30" s="1"/>
      <c r="AS30" s="2"/>
      <c r="AT30" s="1"/>
      <c r="AU30" s="9"/>
      <c r="AV30" s="8"/>
      <c r="AW30" s="1"/>
      <c r="AX30" s="1"/>
      <c r="AY30" s="2"/>
      <c r="AZ30" s="1"/>
      <c r="BA30" s="9"/>
      <c r="BB30" s="10"/>
      <c r="BC30" s="1"/>
      <c r="BD30" s="1"/>
      <c r="BE30" s="1"/>
      <c r="BF30" s="2"/>
      <c r="BG30" s="1"/>
      <c r="BH30" s="10"/>
      <c r="BI30" s="1"/>
      <c r="BJ30" s="1"/>
      <c r="BK30" s="2"/>
      <c r="BL30" s="1"/>
      <c r="BM30" s="9"/>
      <c r="BN30" s="10"/>
      <c r="BO30" s="1"/>
      <c r="BP30" s="1"/>
      <c r="BQ30" s="1"/>
      <c r="BR30" s="2"/>
      <c r="BS30" s="18"/>
      <c r="BT30" s="8"/>
      <c r="BU30" s="1"/>
      <c r="BV30" s="1"/>
      <c r="BW30" s="2"/>
      <c r="BX30" s="1"/>
      <c r="BY30" s="9"/>
      <c r="BZ30" s="10"/>
      <c r="CA30" s="1"/>
      <c r="CB30" s="1"/>
      <c r="CC30" s="1"/>
      <c r="CD30" s="2"/>
      <c r="CE30" s="18"/>
      <c r="CF30" s="10"/>
      <c r="CG30" s="1"/>
      <c r="CH30" s="1"/>
      <c r="CI30" s="1"/>
      <c r="CJ30" s="2"/>
      <c r="CK30" s="18"/>
      <c r="CL30" s="10"/>
      <c r="CM30" s="1"/>
      <c r="CN30" s="1"/>
      <c r="CO30" s="1"/>
      <c r="CP30" s="2"/>
      <c r="CQ30" s="18"/>
      <c r="CR30" s="10"/>
      <c r="CS30" s="1"/>
      <c r="CT30" s="1"/>
      <c r="CU30" s="1"/>
      <c r="CV30" s="2"/>
      <c r="CW30" s="18"/>
      <c r="CX30" s="8"/>
      <c r="CY30" s="1"/>
      <c r="CZ30" s="1"/>
      <c r="DA30" s="1"/>
      <c r="DB30" s="2"/>
      <c r="DC30" s="18"/>
      <c r="DD30" s="8"/>
      <c r="DE30" s="1"/>
      <c r="DF30" s="1"/>
      <c r="DG30" s="1"/>
      <c r="DH30" s="1"/>
      <c r="DI30" s="2"/>
      <c r="DJ30" s="60"/>
      <c r="DK30" s="1"/>
      <c r="DL30" s="1"/>
      <c r="DM30" s="1"/>
      <c r="DN30" s="1"/>
      <c r="DO30" s="61"/>
      <c r="DP30" s="10"/>
      <c r="DQ30" s="1"/>
      <c r="DR30" s="1"/>
      <c r="DS30" s="1"/>
      <c r="DT30" s="1"/>
      <c r="DU30" s="61"/>
      <c r="DV30" s="60"/>
      <c r="DW30" s="1"/>
      <c r="DX30" s="1"/>
      <c r="DY30" s="1"/>
      <c r="DZ30" s="1"/>
      <c r="EA30" s="61"/>
      <c r="EB30" s="10"/>
      <c r="EC30" s="1"/>
      <c r="ED30" s="1"/>
      <c r="EE30" s="1"/>
      <c r="EF30" s="1"/>
      <c r="EG30" s="61"/>
      <c r="EH30" s="10"/>
      <c r="EI30" s="1"/>
      <c r="EJ30" s="1"/>
      <c r="EK30" s="1"/>
      <c r="EL30" s="2"/>
      <c r="EM30" s="1"/>
      <c r="EN30" s="51">
        <f>SUM(L30,R30,X30,AD30,AJ30,AP30,AV30,BB30,BH30,BN30,BT30,BZ30,CF30,CL30,CR30,CX30,DD30,DJ30,DP30,DV30,EB30,EH30)/BULLETIN!$B$38*100</f>
        <v>0</v>
      </c>
      <c r="EO30" s="52" t="str">
        <f t="shared" si="0"/>
        <v>10e</v>
      </c>
      <c r="EP30" s="51">
        <f>SUM(M30,S30,Y30,AE30,AK30,AQ30,AW30,BC30,BI30,BO30,BU30,CA30,CG30,CS30,CY30,DE30,DK30,DQ30,EC30,EI30,CM30,DW30)/BULLETIN!$C$38*100</f>
        <v>0</v>
      </c>
      <c r="EQ30" s="52" t="str">
        <f t="shared" si="1"/>
        <v>10e</v>
      </c>
      <c r="ER30" s="51">
        <f>SUM(N30,T30,Z30,AF30,AL30,AR30,AX30,BD30,BJ30,BP30,BV30,CB30,CH30,CT30,CZ30,DF30,DL30,DR30,ED30,EJ30,CN30,DX30)/BULLETIN!$D$38*100</f>
        <v>0</v>
      </c>
      <c r="ES30" s="52" t="str">
        <f t="shared" si="2"/>
        <v>10e</v>
      </c>
      <c r="ET30" s="51">
        <f>SUM(L30:N30,R30:T30,X30:Z30,AD30:AF30,AJ30:AL30,AP30:AR30,AV30:AX30,BB30:BD30,BH30:BJ30,BN30:BP30,BT30:BV30,BZ30:CB30,CF30:CH30,CR30:CT30,CX30:CZ30,DD30:DF30,DJ30:DL30,DP30:DR30,EB30:ED30,EH30:EJ30,CL30:CN30,DV30:DX30)/BULLETIN!$E$38*100</f>
        <v>0</v>
      </c>
      <c r="EU30" s="52" t="str">
        <f t="shared" si="3"/>
        <v>10e</v>
      </c>
      <c r="EV30" s="51">
        <f>SUM(O30,U30,AA30,AG30,AM30,AS30,AY30,BE30,BK30,BQ30,BW30,CC30,CI30,CU30,DA30,DG30,DM30,DS30,EE30,EK30,CO30,DY30)/BULLETIN!$F$38*100</f>
        <v>0</v>
      </c>
      <c r="EW30" s="52" t="str">
        <f t="shared" si="4"/>
        <v>10e</v>
      </c>
      <c r="EX30" s="51">
        <f>SUM(P30,V30,AB30,AH30,AN30,AT30,AZ30,BF30,BL30,BR30,BX30,CD30,CJ30,CV30,DB30,DH30,DN30,DS30,EF30,EL30,CP30,DZ30)/BULLETIN!$G$38*100</f>
        <v>0</v>
      </c>
      <c r="EY30" s="52" t="str">
        <f t="shared" si="5"/>
        <v>10e</v>
      </c>
      <c r="EZ30" s="51">
        <f>SUM(Q30,W30,AC30,AI30,AO30,AU30,BA30,BG30,BM30,BS30,BY30,CE30,CK30,CW30,DC30,DI30,DO30,DU30,EG30,EM30,EA30,CQ30)/BULLETIN!$H$38*100</f>
        <v>0</v>
      </c>
      <c r="FA30" s="52" t="str">
        <f t="shared" si="6"/>
        <v>10e</v>
      </c>
      <c r="FB30" s="51">
        <f>SUM(O30:Q30,U30:W30,AA30:AC30,AG30:AI30,AM30:AO30,AS30:AU30,AY30:BA30,BE30:BG30,BK30:BM30,BQ30:BS30,BW30:BY30,CC30:CE30,CI30:CK30,CU30:CW30,DA30:DC30,DM30:DO30,DS30:DU30,EE30:EG30,EK30:EM30,DG30:DI30,CO30:CQ30,DY30:EA30)/BULLETIN!$I$38*100</f>
        <v>0</v>
      </c>
      <c r="FC30" s="52" t="str">
        <f t="shared" si="7"/>
        <v>10e</v>
      </c>
      <c r="FD30" s="51">
        <f>SUM(L30:EM30)/BULLETIN!$J$38*100</f>
        <v>0</v>
      </c>
      <c r="FE30" s="52" t="str">
        <f t="shared" si="8"/>
        <v>10e</v>
      </c>
    </row>
    <row r="31" spans="1:161" ht="15.5" x14ac:dyDescent="0.35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6"/>
      <c r="L31" s="8"/>
      <c r="M31" s="1"/>
      <c r="N31" s="1"/>
      <c r="O31" s="1"/>
      <c r="P31" s="1"/>
      <c r="Q31" s="9"/>
      <c r="R31" s="10"/>
      <c r="S31" s="1"/>
      <c r="T31" s="1"/>
      <c r="U31" s="1"/>
      <c r="V31" s="2"/>
      <c r="W31" s="18"/>
      <c r="X31" s="8"/>
      <c r="Y31" s="1"/>
      <c r="Z31" s="1"/>
      <c r="AA31" s="1"/>
      <c r="AB31" s="1"/>
      <c r="AC31" s="9"/>
      <c r="AD31" s="8"/>
      <c r="AE31" s="1"/>
      <c r="AF31" s="1"/>
      <c r="AG31" s="1"/>
      <c r="AH31" s="1"/>
      <c r="AI31" s="9"/>
      <c r="AJ31" s="10"/>
      <c r="AK31" s="1"/>
      <c r="AL31" s="1"/>
      <c r="AM31" s="1"/>
      <c r="AN31" s="2"/>
      <c r="AO31" s="18"/>
      <c r="AP31" s="8"/>
      <c r="AQ31" s="1"/>
      <c r="AR31" s="1"/>
      <c r="AS31" s="2"/>
      <c r="AT31" s="1"/>
      <c r="AU31" s="9"/>
      <c r="AV31" s="8"/>
      <c r="AW31" s="1"/>
      <c r="AX31" s="1"/>
      <c r="AY31" s="2"/>
      <c r="AZ31" s="1"/>
      <c r="BA31" s="9"/>
      <c r="BB31" s="10"/>
      <c r="BC31" s="1"/>
      <c r="BD31" s="1"/>
      <c r="BE31" s="1"/>
      <c r="BF31" s="2"/>
      <c r="BG31" s="1"/>
      <c r="BH31" s="10"/>
      <c r="BI31" s="1"/>
      <c r="BJ31" s="1"/>
      <c r="BK31" s="2"/>
      <c r="BL31" s="1"/>
      <c r="BM31" s="9"/>
      <c r="BN31" s="10"/>
      <c r="BO31" s="1"/>
      <c r="BP31" s="1"/>
      <c r="BQ31" s="1"/>
      <c r="BR31" s="2"/>
      <c r="BS31" s="18"/>
      <c r="BT31" s="8"/>
      <c r="BU31" s="1"/>
      <c r="BV31" s="1"/>
      <c r="BW31" s="2"/>
      <c r="BX31" s="1"/>
      <c r="BY31" s="9"/>
      <c r="BZ31" s="10"/>
      <c r="CA31" s="1"/>
      <c r="CB31" s="1"/>
      <c r="CC31" s="1"/>
      <c r="CD31" s="2"/>
      <c r="CE31" s="18"/>
      <c r="CF31" s="10"/>
      <c r="CG31" s="1"/>
      <c r="CH31" s="1"/>
      <c r="CI31" s="1"/>
      <c r="CJ31" s="2"/>
      <c r="CK31" s="18"/>
      <c r="CL31" s="10"/>
      <c r="CM31" s="1"/>
      <c r="CN31" s="1"/>
      <c r="CO31" s="1"/>
      <c r="CP31" s="2"/>
      <c r="CQ31" s="18"/>
      <c r="CR31" s="10"/>
      <c r="CS31" s="1"/>
      <c r="CT31" s="1"/>
      <c r="CU31" s="1"/>
      <c r="CV31" s="2"/>
      <c r="CW31" s="18"/>
      <c r="CX31" s="8"/>
      <c r="CY31" s="1"/>
      <c r="CZ31" s="1"/>
      <c r="DA31" s="1"/>
      <c r="DB31" s="2"/>
      <c r="DC31" s="18"/>
      <c r="DD31" s="8"/>
      <c r="DE31" s="1"/>
      <c r="DF31" s="1"/>
      <c r="DG31" s="1"/>
      <c r="DH31" s="1"/>
      <c r="DI31" s="2"/>
      <c r="DJ31" s="60"/>
      <c r="DK31" s="1"/>
      <c r="DL31" s="1"/>
      <c r="DM31" s="1"/>
      <c r="DN31" s="1"/>
      <c r="DO31" s="61"/>
      <c r="DP31" s="10"/>
      <c r="DQ31" s="1"/>
      <c r="DR31" s="1"/>
      <c r="DS31" s="1"/>
      <c r="DT31" s="1"/>
      <c r="DU31" s="61"/>
      <c r="DV31" s="60"/>
      <c r="DW31" s="1"/>
      <c r="DX31" s="1"/>
      <c r="DY31" s="1"/>
      <c r="DZ31" s="1"/>
      <c r="EA31" s="61"/>
      <c r="EB31" s="10"/>
      <c r="EC31" s="1"/>
      <c r="ED31" s="1"/>
      <c r="EE31" s="1"/>
      <c r="EF31" s="1"/>
      <c r="EG31" s="61"/>
      <c r="EH31" s="10"/>
      <c r="EI31" s="1"/>
      <c r="EJ31" s="1"/>
      <c r="EK31" s="1"/>
      <c r="EL31" s="2"/>
      <c r="EM31" s="1"/>
      <c r="EN31" s="51">
        <f>SUM(L31,R31,X31,AD31,AJ31,AP31,AV31,BB31,BH31,BN31,BT31,BZ31,CF31,CL31,CR31,CX31,DD31,DJ31,DP31,DV31,EB31,EH31)/BULLETIN!$B$38*100</f>
        <v>0</v>
      </c>
      <c r="EO31" s="52" t="str">
        <f t="shared" si="0"/>
        <v>10e</v>
      </c>
      <c r="EP31" s="51">
        <f>SUM(M31,S31,Y31,AE31,AK31,AQ31,AW31,BC31,BI31,BO31,BU31,CA31,CG31,CS31,CY31,DE31,DK31,DQ31,EC31,EI31,CM31,DW31)/BULLETIN!$C$38*100</f>
        <v>0</v>
      </c>
      <c r="EQ31" s="52" t="str">
        <f t="shared" si="1"/>
        <v>10e</v>
      </c>
      <c r="ER31" s="51">
        <f>SUM(N31,T31,Z31,AF31,AL31,AR31,AX31,BD31,BJ31,BP31,BV31,CB31,CH31,CT31,CZ31,DF31,DL31,DR31,ED31,EJ31,CN31,DX31)/BULLETIN!$D$38*100</f>
        <v>0</v>
      </c>
      <c r="ES31" s="52" t="str">
        <f t="shared" si="2"/>
        <v>10e</v>
      </c>
      <c r="ET31" s="51">
        <f>SUM(L31:N31,R31:T31,X31:Z31,AD31:AF31,AJ31:AL31,AP31:AR31,AV31:AX31,BB31:BD31,BH31:BJ31,BN31:BP31,BT31:BV31,BZ31:CB31,CF31:CH31,CR31:CT31,CX31:CZ31,DD31:DF31,DJ31:DL31,DP31:DR31,EB31:ED31,EH31:EJ31,CL31:CN31,DV31:DX31)/BULLETIN!$E$38*100</f>
        <v>0</v>
      </c>
      <c r="EU31" s="52" t="str">
        <f t="shared" si="3"/>
        <v>10e</v>
      </c>
      <c r="EV31" s="51">
        <f>SUM(O31,U31,AA31,AG31,AM31,AS31,AY31,BE31,BK31,BQ31,BW31,CC31,CI31,CU31,DA31,DG31,DM31,DS31,EE31,EK31,CO31,DY31)/BULLETIN!$F$38*100</f>
        <v>0</v>
      </c>
      <c r="EW31" s="52" t="str">
        <f t="shared" si="4"/>
        <v>10e</v>
      </c>
      <c r="EX31" s="51">
        <f>SUM(P31,V31,AB31,AH31,AN31,AT31,AZ31,BF31,BL31,BR31,BX31,CD31,CJ31,CV31,DB31,DH31,DN31,DS31,EF31,EL31,CP31,DZ31)/BULLETIN!$G$38*100</f>
        <v>0</v>
      </c>
      <c r="EY31" s="52" t="str">
        <f t="shared" si="5"/>
        <v>10e</v>
      </c>
      <c r="EZ31" s="51">
        <f>SUM(Q31,W31,AC31,AI31,AO31,AU31,BA31,BG31,BM31,BS31,BY31,CE31,CK31,CW31,DC31,DI31,DO31,DU31,EG31,EM31,EA31,CQ31)/BULLETIN!$H$38*100</f>
        <v>0</v>
      </c>
      <c r="FA31" s="52" t="str">
        <f t="shared" si="6"/>
        <v>10e</v>
      </c>
      <c r="FB31" s="51">
        <f>SUM(O31:Q31,U31:W31,AA31:AC31,AG31:AI31,AM31:AO31,AS31:AU31,AY31:BA31,BE31:BG31,BK31:BM31,BQ31:BS31,BW31:BY31,CC31:CE31,CI31:CK31,CU31:CW31,DA31:DC31,DM31:DO31,DS31:DU31,EE31:EG31,EK31:EM31,DG31:DI31,CO31:CQ31,DY31:EA31)/BULLETIN!$I$38*100</f>
        <v>0</v>
      </c>
      <c r="FC31" s="52" t="str">
        <f t="shared" si="7"/>
        <v>10e</v>
      </c>
      <c r="FD31" s="51">
        <f>SUM(L31:EM31)/BULLETIN!$J$38*100</f>
        <v>0</v>
      </c>
      <c r="FE31" s="52" t="str">
        <f t="shared" si="8"/>
        <v>10e</v>
      </c>
    </row>
    <row r="32" spans="1:161" ht="15.5" x14ac:dyDescent="0.35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6"/>
      <c r="L32" s="8"/>
      <c r="M32" s="1"/>
      <c r="N32" s="1"/>
      <c r="O32" s="1"/>
      <c r="P32" s="1"/>
      <c r="Q32" s="9"/>
      <c r="R32" s="10"/>
      <c r="S32" s="1"/>
      <c r="T32" s="1"/>
      <c r="U32" s="1"/>
      <c r="V32" s="2"/>
      <c r="W32" s="18"/>
      <c r="X32" s="8"/>
      <c r="Y32" s="1"/>
      <c r="Z32" s="1"/>
      <c r="AA32" s="1"/>
      <c r="AB32" s="1"/>
      <c r="AC32" s="9"/>
      <c r="AD32" s="8"/>
      <c r="AE32" s="1"/>
      <c r="AF32" s="1"/>
      <c r="AG32" s="1"/>
      <c r="AH32" s="1"/>
      <c r="AI32" s="9"/>
      <c r="AJ32" s="10"/>
      <c r="AK32" s="1"/>
      <c r="AL32" s="1"/>
      <c r="AM32" s="1"/>
      <c r="AN32" s="2"/>
      <c r="AO32" s="18"/>
      <c r="AP32" s="8"/>
      <c r="AQ32" s="1"/>
      <c r="AR32" s="1"/>
      <c r="AS32" s="2"/>
      <c r="AT32" s="1"/>
      <c r="AU32" s="9"/>
      <c r="AV32" s="8"/>
      <c r="AW32" s="1"/>
      <c r="AX32" s="1"/>
      <c r="AY32" s="2"/>
      <c r="AZ32" s="1"/>
      <c r="BA32" s="9"/>
      <c r="BB32" s="10"/>
      <c r="BC32" s="1"/>
      <c r="BD32" s="1"/>
      <c r="BE32" s="1"/>
      <c r="BF32" s="2"/>
      <c r="BG32" s="1"/>
      <c r="BH32" s="10"/>
      <c r="BI32" s="1"/>
      <c r="BJ32" s="1"/>
      <c r="BK32" s="2"/>
      <c r="BL32" s="1"/>
      <c r="BM32" s="9"/>
      <c r="BN32" s="10"/>
      <c r="BO32" s="1"/>
      <c r="BP32" s="1"/>
      <c r="BQ32" s="1"/>
      <c r="BR32" s="2"/>
      <c r="BS32" s="18"/>
      <c r="BT32" s="8"/>
      <c r="BU32" s="1"/>
      <c r="BV32" s="1"/>
      <c r="BW32" s="2"/>
      <c r="BX32" s="1"/>
      <c r="BY32" s="9"/>
      <c r="BZ32" s="10"/>
      <c r="CA32" s="1"/>
      <c r="CB32" s="1"/>
      <c r="CC32" s="1"/>
      <c r="CD32" s="2"/>
      <c r="CE32" s="18"/>
      <c r="CF32" s="10"/>
      <c r="CG32" s="1"/>
      <c r="CH32" s="1"/>
      <c r="CI32" s="1"/>
      <c r="CJ32" s="2"/>
      <c r="CK32" s="18"/>
      <c r="CL32" s="10"/>
      <c r="CM32" s="1"/>
      <c r="CN32" s="1"/>
      <c r="CO32" s="1"/>
      <c r="CP32" s="2"/>
      <c r="CQ32" s="18"/>
      <c r="CR32" s="10"/>
      <c r="CS32" s="1"/>
      <c r="CT32" s="1"/>
      <c r="CU32" s="1"/>
      <c r="CV32" s="2"/>
      <c r="CW32" s="18"/>
      <c r="CX32" s="8"/>
      <c r="CY32" s="1"/>
      <c r="CZ32" s="1"/>
      <c r="DA32" s="1"/>
      <c r="DB32" s="2"/>
      <c r="DC32" s="18"/>
      <c r="DD32" s="8"/>
      <c r="DE32" s="1"/>
      <c r="DF32" s="1"/>
      <c r="DG32" s="1"/>
      <c r="DH32" s="1"/>
      <c r="DI32" s="2"/>
      <c r="DJ32" s="60"/>
      <c r="DK32" s="1"/>
      <c r="DL32" s="1"/>
      <c r="DM32" s="1"/>
      <c r="DN32" s="1"/>
      <c r="DO32" s="61"/>
      <c r="DP32" s="10"/>
      <c r="DQ32" s="1"/>
      <c r="DR32" s="1"/>
      <c r="DS32" s="1"/>
      <c r="DT32" s="1"/>
      <c r="DU32" s="61"/>
      <c r="DV32" s="60"/>
      <c r="DW32" s="1"/>
      <c r="DX32" s="1"/>
      <c r="DY32" s="1"/>
      <c r="DZ32" s="1"/>
      <c r="EA32" s="61"/>
      <c r="EB32" s="10"/>
      <c r="EC32" s="1"/>
      <c r="ED32" s="1"/>
      <c r="EE32" s="1"/>
      <c r="EF32" s="1"/>
      <c r="EG32" s="61"/>
      <c r="EH32" s="10"/>
      <c r="EI32" s="1"/>
      <c r="EJ32" s="1"/>
      <c r="EK32" s="1"/>
      <c r="EL32" s="2"/>
      <c r="EM32" s="1"/>
      <c r="EN32" s="51">
        <f>SUM(L32,R32,X32,AD32,AJ32,AP32,AV32,BB32,BH32,BN32,BT32,BZ32,CF32,CL32,CR32,CX32,DD32,DJ32,DP32,DV32,EB32,EH32)/BULLETIN!$B$38*100</f>
        <v>0</v>
      </c>
      <c r="EO32" s="52" t="str">
        <f t="shared" si="0"/>
        <v>10e</v>
      </c>
      <c r="EP32" s="51">
        <f>SUM(M32,S32,Y32,AE32,AK32,AQ32,AW32,BC32,BI32,BO32,BU32,CA32,CG32,CS32,CY32,DE32,DK32,DQ32,EC32,EI32,CM32,DW32)/BULLETIN!$C$38*100</f>
        <v>0</v>
      </c>
      <c r="EQ32" s="52" t="str">
        <f t="shared" si="1"/>
        <v>10e</v>
      </c>
      <c r="ER32" s="51">
        <f>SUM(N32,T32,Z32,AF32,AL32,AR32,AX32,BD32,BJ32,BP32,BV32,CB32,CH32,CT32,CZ32,DF32,DL32,DR32,ED32,EJ32,CN32,DX32)/BULLETIN!$D$38*100</f>
        <v>0</v>
      </c>
      <c r="ES32" s="52" t="str">
        <f t="shared" si="2"/>
        <v>10e</v>
      </c>
      <c r="ET32" s="51">
        <f>SUM(L32:N32,R32:T32,X32:Z32,AD32:AF32,AJ32:AL32,AP32:AR32,AV32:AX32,BB32:BD32,BH32:BJ32,BN32:BP32,BT32:BV32,BZ32:CB32,CF32:CH32,CR32:CT32,CX32:CZ32,DD32:DF32,DJ32:DL32,DP32:DR32,EB32:ED32,EH32:EJ32,CL32:CN32,DV32:DX32)/BULLETIN!$E$38*100</f>
        <v>0</v>
      </c>
      <c r="EU32" s="52" t="str">
        <f t="shared" si="3"/>
        <v>10e</v>
      </c>
      <c r="EV32" s="51">
        <f>SUM(O32,U32,AA32,AG32,AM32,AS32,AY32,BE32,BK32,BQ32,BW32,CC32,CI32,CU32,DA32,DG32,DM32,DS32,EE32,EK32,CO32,DY32)/BULLETIN!$F$38*100</f>
        <v>0</v>
      </c>
      <c r="EW32" s="52" t="str">
        <f t="shared" si="4"/>
        <v>10e</v>
      </c>
      <c r="EX32" s="51">
        <f>SUM(P32,V32,AB32,AH32,AN32,AT32,AZ32,BF32,BL32,BR32,BX32,CD32,CJ32,CV32,DB32,DH32,DN32,DS32,EF32,EL32,CP32,DZ32)/BULLETIN!$G$38*100</f>
        <v>0</v>
      </c>
      <c r="EY32" s="52" t="str">
        <f t="shared" si="5"/>
        <v>10e</v>
      </c>
      <c r="EZ32" s="51">
        <f>SUM(Q32,W32,AC32,AI32,AO32,AU32,BA32,BG32,BM32,BS32,BY32,CE32,CK32,CW32,DC32,DI32,DO32,DU32,EG32,EM32,EA32,CQ32)/BULLETIN!$H$38*100</f>
        <v>0</v>
      </c>
      <c r="FA32" s="52" t="str">
        <f t="shared" si="6"/>
        <v>10e</v>
      </c>
      <c r="FB32" s="51">
        <f>SUM(O32:Q32,U32:W32,AA32:AC32,AG32:AI32,AM32:AO32,AS32:AU32,AY32:BA32,BE32:BG32,BK32:BM32,BQ32:BS32,BW32:BY32,CC32:CE32,CI32:CK32,CU32:CW32,DA32:DC32,DM32:DO32,DS32:DU32,EE32:EG32,EK32:EM32,DG32:DI32,CO32:CQ32,DY32:EA32)/BULLETIN!$I$38*100</f>
        <v>0</v>
      </c>
      <c r="FC32" s="52" t="str">
        <f t="shared" si="7"/>
        <v>10e</v>
      </c>
      <c r="FD32" s="51">
        <f>SUM(L32:EM32)/BULLETIN!$J$38*100</f>
        <v>0</v>
      </c>
      <c r="FE32" s="52" t="str">
        <f t="shared" si="8"/>
        <v>10e</v>
      </c>
    </row>
    <row r="33" spans="1:161" ht="15.5" x14ac:dyDescent="0.35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6"/>
      <c r="L33" s="8"/>
      <c r="M33" s="1"/>
      <c r="N33" s="1"/>
      <c r="O33" s="1"/>
      <c r="P33" s="1"/>
      <c r="Q33" s="9"/>
      <c r="R33" s="10"/>
      <c r="S33" s="1"/>
      <c r="T33" s="1"/>
      <c r="U33" s="1"/>
      <c r="V33" s="2"/>
      <c r="W33" s="18"/>
      <c r="X33" s="8"/>
      <c r="Y33" s="1"/>
      <c r="Z33" s="1"/>
      <c r="AA33" s="1"/>
      <c r="AB33" s="1"/>
      <c r="AC33" s="9"/>
      <c r="AD33" s="8"/>
      <c r="AE33" s="1"/>
      <c r="AF33" s="1"/>
      <c r="AG33" s="1"/>
      <c r="AH33" s="1"/>
      <c r="AI33" s="9"/>
      <c r="AJ33" s="10"/>
      <c r="AK33" s="1"/>
      <c r="AL33" s="1"/>
      <c r="AM33" s="1"/>
      <c r="AN33" s="2"/>
      <c r="AO33" s="18"/>
      <c r="AP33" s="8"/>
      <c r="AQ33" s="1"/>
      <c r="AR33" s="1"/>
      <c r="AS33" s="2"/>
      <c r="AT33" s="1"/>
      <c r="AU33" s="9"/>
      <c r="AV33" s="8"/>
      <c r="AW33" s="1"/>
      <c r="AX33" s="1"/>
      <c r="AY33" s="2"/>
      <c r="AZ33" s="1"/>
      <c r="BA33" s="9"/>
      <c r="BB33" s="10"/>
      <c r="BC33" s="1"/>
      <c r="BD33" s="1"/>
      <c r="BE33" s="1"/>
      <c r="BF33" s="2"/>
      <c r="BG33" s="1"/>
      <c r="BH33" s="10"/>
      <c r="BI33" s="1"/>
      <c r="BJ33" s="1"/>
      <c r="BK33" s="2"/>
      <c r="BL33" s="1"/>
      <c r="BM33" s="9"/>
      <c r="BN33" s="10"/>
      <c r="BO33" s="1"/>
      <c r="BP33" s="1"/>
      <c r="BQ33" s="1"/>
      <c r="BR33" s="2"/>
      <c r="BS33" s="18"/>
      <c r="BT33" s="8"/>
      <c r="BU33" s="1"/>
      <c r="BV33" s="1"/>
      <c r="BW33" s="2"/>
      <c r="BX33" s="1"/>
      <c r="BY33" s="9"/>
      <c r="BZ33" s="10"/>
      <c r="CA33" s="1"/>
      <c r="CB33" s="1"/>
      <c r="CC33" s="1"/>
      <c r="CD33" s="2"/>
      <c r="CE33" s="18"/>
      <c r="CF33" s="10"/>
      <c r="CG33" s="1"/>
      <c r="CH33" s="1"/>
      <c r="CI33" s="1"/>
      <c r="CJ33" s="2"/>
      <c r="CK33" s="18"/>
      <c r="CL33" s="10"/>
      <c r="CM33" s="1"/>
      <c r="CN33" s="1"/>
      <c r="CO33" s="1"/>
      <c r="CP33" s="2"/>
      <c r="CQ33" s="18"/>
      <c r="CR33" s="10"/>
      <c r="CS33" s="1"/>
      <c r="CT33" s="1"/>
      <c r="CU33" s="1"/>
      <c r="CV33" s="2"/>
      <c r="CW33" s="18"/>
      <c r="CX33" s="8"/>
      <c r="CY33" s="1"/>
      <c r="CZ33" s="1"/>
      <c r="DA33" s="1"/>
      <c r="DB33" s="2"/>
      <c r="DC33" s="18"/>
      <c r="DD33" s="8"/>
      <c r="DE33" s="1"/>
      <c r="DF33" s="1"/>
      <c r="DG33" s="1"/>
      <c r="DH33" s="1"/>
      <c r="DI33" s="2"/>
      <c r="DJ33" s="60"/>
      <c r="DK33" s="1"/>
      <c r="DL33" s="1"/>
      <c r="DM33" s="1"/>
      <c r="DN33" s="1"/>
      <c r="DO33" s="61"/>
      <c r="DP33" s="10"/>
      <c r="DQ33" s="1"/>
      <c r="DR33" s="1"/>
      <c r="DS33" s="1"/>
      <c r="DT33" s="1"/>
      <c r="DU33" s="61"/>
      <c r="DV33" s="60"/>
      <c r="DW33" s="1"/>
      <c r="DX33" s="1"/>
      <c r="DY33" s="1"/>
      <c r="DZ33" s="1"/>
      <c r="EA33" s="61"/>
      <c r="EB33" s="10"/>
      <c r="EC33" s="1"/>
      <c r="ED33" s="1"/>
      <c r="EE33" s="1"/>
      <c r="EF33" s="1"/>
      <c r="EG33" s="61"/>
      <c r="EH33" s="10"/>
      <c r="EI33" s="1"/>
      <c r="EJ33" s="1"/>
      <c r="EK33" s="1"/>
      <c r="EL33" s="2"/>
      <c r="EM33" s="1"/>
      <c r="EN33" s="51">
        <f>SUM(L33,R33,X33,AD33,AJ33,AP33,AV33,BB33,BH33,BN33,BT33,BZ33,CF33,CL33,CR33,CX33,DD33,DJ33,DP33,DV33,EB33,EH33)/BULLETIN!$B$38*100</f>
        <v>0</v>
      </c>
      <c r="EO33" s="52" t="str">
        <f t="shared" si="0"/>
        <v>10e</v>
      </c>
      <c r="EP33" s="51">
        <f>SUM(M33,S33,Y33,AE33,AK33,AQ33,AW33,BC33,BI33,BO33,BU33,CA33,CG33,CS33,CY33,DE33,DK33,DQ33,EC33,EI33,CM33,DW33)/BULLETIN!$C$38*100</f>
        <v>0</v>
      </c>
      <c r="EQ33" s="52" t="str">
        <f t="shared" si="1"/>
        <v>10e</v>
      </c>
      <c r="ER33" s="51">
        <f>SUM(N33,T33,Z33,AF33,AL33,AR33,AX33,BD33,BJ33,BP33,BV33,CB33,CH33,CT33,CZ33,DF33,DL33,DR33,ED33,EJ33,CN33,DX33)/BULLETIN!$D$38*100</f>
        <v>0</v>
      </c>
      <c r="ES33" s="52" t="str">
        <f t="shared" si="2"/>
        <v>10e</v>
      </c>
      <c r="ET33" s="51">
        <f>SUM(L33:N33,R33:T33,X33:Z33,AD33:AF33,AJ33:AL33,AP33:AR33,AV33:AX33,BB33:BD33,BH33:BJ33,BN33:BP33,BT33:BV33,BZ33:CB33,CF33:CH33,CR33:CT33,CX33:CZ33,DD33:DF33,DJ33:DL33,DP33:DR33,EB33:ED33,EH33:EJ33,CL33:CN33,DV33:DX33)/BULLETIN!$E$38*100</f>
        <v>0</v>
      </c>
      <c r="EU33" s="52" t="str">
        <f t="shared" si="3"/>
        <v>10e</v>
      </c>
      <c r="EV33" s="51">
        <f>SUM(O33,U33,AA33,AG33,AM33,AS33,AY33,BE33,BK33,BQ33,BW33,CC33,CI33,CU33,DA33,DG33,DM33,DS33,EE33,EK33,CO33,DY33)/BULLETIN!$F$38*100</f>
        <v>0</v>
      </c>
      <c r="EW33" s="52" t="str">
        <f t="shared" si="4"/>
        <v>10e</v>
      </c>
      <c r="EX33" s="51">
        <f>SUM(P33,V33,AB33,AH33,AN33,AT33,AZ33,BF33,BL33,BR33,BX33,CD33,CJ33,CV33,DB33,DH33,DN33,DS33,EF33,EL33,CP33,DZ33)/BULLETIN!$G$38*100</f>
        <v>0</v>
      </c>
      <c r="EY33" s="52" t="str">
        <f t="shared" si="5"/>
        <v>10e</v>
      </c>
      <c r="EZ33" s="51">
        <f>SUM(Q33,W33,AC33,AI33,AO33,AU33,BA33,BG33,BM33,BS33,BY33,CE33,CK33,CW33,DC33,DI33,DO33,DU33,EG33,EM33,EA33,CQ33)/BULLETIN!$H$38*100</f>
        <v>0</v>
      </c>
      <c r="FA33" s="52" t="str">
        <f t="shared" si="6"/>
        <v>10e</v>
      </c>
      <c r="FB33" s="51">
        <f>SUM(O33:Q33,U33:W33,AA33:AC33,AG33:AI33,AM33:AO33,AS33:AU33,AY33:BA33,BE33:BG33,BK33:BM33,BQ33:BS33,BW33:BY33,CC33:CE33,CI33:CK33,CU33:CW33,DA33:DC33,DM33:DO33,DS33:DU33,EE33:EG33,EK33:EM33,DG33:DI33,CO33:CQ33,DY33:EA33)/BULLETIN!$I$38*100</f>
        <v>0</v>
      </c>
      <c r="FC33" s="52" t="str">
        <f t="shared" si="7"/>
        <v>10e</v>
      </c>
      <c r="FD33" s="51">
        <f>SUM(L33:EM33)/BULLETIN!$J$38*100</f>
        <v>0</v>
      </c>
      <c r="FE33" s="52" t="str">
        <f t="shared" si="8"/>
        <v>10e</v>
      </c>
    </row>
    <row r="34" spans="1:161" ht="15.5" x14ac:dyDescent="0.3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6"/>
      <c r="L34" s="8"/>
      <c r="M34" s="1"/>
      <c r="N34" s="1"/>
      <c r="O34" s="1"/>
      <c r="P34" s="1"/>
      <c r="Q34" s="9"/>
      <c r="R34" s="10"/>
      <c r="S34" s="1"/>
      <c r="T34" s="1"/>
      <c r="U34" s="1"/>
      <c r="V34" s="2"/>
      <c r="W34" s="18"/>
      <c r="X34" s="8"/>
      <c r="Y34" s="1"/>
      <c r="Z34" s="1"/>
      <c r="AA34" s="1"/>
      <c r="AB34" s="1"/>
      <c r="AC34" s="9"/>
      <c r="AD34" s="8"/>
      <c r="AE34" s="1"/>
      <c r="AF34" s="1"/>
      <c r="AG34" s="1"/>
      <c r="AH34" s="1"/>
      <c r="AI34" s="9"/>
      <c r="AJ34" s="10"/>
      <c r="AK34" s="1"/>
      <c r="AL34" s="1"/>
      <c r="AM34" s="1"/>
      <c r="AN34" s="2"/>
      <c r="AO34" s="18"/>
      <c r="AP34" s="8"/>
      <c r="AQ34" s="1"/>
      <c r="AR34" s="1"/>
      <c r="AS34" s="2"/>
      <c r="AT34" s="1"/>
      <c r="AU34" s="9"/>
      <c r="AV34" s="8"/>
      <c r="AW34" s="1"/>
      <c r="AX34" s="1"/>
      <c r="AY34" s="2"/>
      <c r="AZ34" s="1"/>
      <c r="BA34" s="9"/>
      <c r="BB34" s="10"/>
      <c r="BC34" s="1"/>
      <c r="BD34" s="1"/>
      <c r="BE34" s="1"/>
      <c r="BF34" s="2"/>
      <c r="BG34" s="1"/>
      <c r="BH34" s="10"/>
      <c r="BI34" s="1"/>
      <c r="BJ34" s="1"/>
      <c r="BK34" s="2"/>
      <c r="BL34" s="1"/>
      <c r="BM34" s="9"/>
      <c r="BN34" s="10"/>
      <c r="BO34" s="1"/>
      <c r="BP34" s="1"/>
      <c r="BQ34" s="1"/>
      <c r="BR34" s="2"/>
      <c r="BS34" s="18"/>
      <c r="BT34" s="8"/>
      <c r="BU34" s="1"/>
      <c r="BV34" s="1"/>
      <c r="BW34" s="2"/>
      <c r="BX34" s="1"/>
      <c r="BY34" s="9"/>
      <c r="BZ34" s="10"/>
      <c r="CA34" s="1"/>
      <c r="CB34" s="1"/>
      <c r="CC34" s="1"/>
      <c r="CD34" s="2"/>
      <c r="CE34" s="18"/>
      <c r="CF34" s="10"/>
      <c r="CG34" s="1"/>
      <c r="CH34" s="1"/>
      <c r="CI34" s="1"/>
      <c r="CJ34" s="2"/>
      <c r="CK34" s="18"/>
      <c r="CL34" s="10"/>
      <c r="CM34" s="1"/>
      <c r="CN34" s="1"/>
      <c r="CO34" s="1"/>
      <c r="CP34" s="2"/>
      <c r="CQ34" s="18"/>
      <c r="CR34" s="10"/>
      <c r="CS34" s="1"/>
      <c r="CT34" s="1"/>
      <c r="CU34" s="1"/>
      <c r="CV34" s="2"/>
      <c r="CW34" s="18"/>
      <c r="CX34" s="8"/>
      <c r="CY34" s="1"/>
      <c r="CZ34" s="1"/>
      <c r="DA34" s="1"/>
      <c r="DB34" s="2"/>
      <c r="DC34" s="18"/>
      <c r="DD34" s="8"/>
      <c r="DE34" s="1"/>
      <c r="DF34" s="1"/>
      <c r="DG34" s="1"/>
      <c r="DH34" s="1"/>
      <c r="DI34" s="2"/>
      <c r="DJ34" s="60"/>
      <c r="DK34" s="1"/>
      <c r="DL34" s="1"/>
      <c r="DM34" s="1"/>
      <c r="DN34" s="1"/>
      <c r="DO34" s="61"/>
      <c r="DP34" s="10"/>
      <c r="DQ34" s="1"/>
      <c r="DR34" s="1"/>
      <c r="DS34" s="1"/>
      <c r="DT34" s="1"/>
      <c r="DU34" s="61"/>
      <c r="DV34" s="60"/>
      <c r="DW34" s="1"/>
      <c r="DX34" s="1"/>
      <c r="DY34" s="1"/>
      <c r="DZ34" s="1"/>
      <c r="EA34" s="61"/>
      <c r="EB34" s="10"/>
      <c r="EC34" s="1"/>
      <c r="ED34" s="1"/>
      <c r="EE34" s="1"/>
      <c r="EF34" s="1"/>
      <c r="EG34" s="61"/>
      <c r="EH34" s="10"/>
      <c r="EI34" s="1"/>
      <c r="EJ34" s="1"/>
      <c r="EK34" s="1"/>
      <c r="EL34" s="2"/>
      <c r="EM34" s="1"/>
      <c r="EN34" s="51">
        <f>SUM(L34,R34,X34,AD34,AJ34,AP34,AV34,BB34,BH34,BN34,BT34,BZ34,CF34,CL34,CR34,CX34,DD34,DJ34,DP34,DV34,EB34,EH34)/BULLETIN!$B$38*100</f>
        <v>0</v>
      </c>
      <c r="EO34" s="52" t="str">
        <f t="shared" si="0"/>
        <v>10e</v>
      </c>
      <c r="EP34" s="51">
        <f>SUM(M34,S34,Y34,AE34,AK34,AQ34,AW34,BC34,BI34,BO34,BU34,CA34,CG34,CS34,CY34,DE34,DK34,DQ34,EC34,EI34,CM34,DW34)/BULLETIN!$C$38*100</f>
        <v>0</v>
      </c>
      <c r="EQ34" s="52" t="str">
        <f t="shared" si="1"/>
        <v>10e</v>
      </c>
      <c r="ER34" s="51">
        <f>SUM(N34,T34,Z34,AF34,AL34,AR34,AX34,BD34,BJ34,BP34,BV34,CB34,CH34,CT34,CZ34,DF34,DL34,DR34,ED34,EJ34,CN34,DX34)/BULLETIN!$D$38*100</f>
        <v>0</v>
      </c>
      <c r="ES34" s="52" t="str">
        <f t="shared" si="2"/>
        <v>10e</v>
      </c>
      <c r="ET34" s="51">
        <f>SUM(L34:N34,R34:T34,X34:Z34,AD34:AF34,AJ34:AL34,AP34:AR34,AV34:AX34,BB34:BD34,BH34:BJ34,BN34:BP34,BT34:BV34,BZ34:CB34,CF34:CH34,CR34:CT34,CX34:CZ34,DD34:DF34,DJ34:DL34,DP34:DR34,EB34:ED34,EH34:EJ34,CL34:CN34,DV34:DX34)/BULLETIN!$E$38*100</f>
        <v>0</v>
      </c>
      <c r="EU34" s="52" t="str">
        <f t="shared" si="3"/>
        <v>10e</v>
      </c>
      <c r="EV34" s="51">
        <f>SUM(O34,U34,AA34,AG34,AM34,AS34,AY34,BE34,BK34,BQ34,BW34,CC34,CI34,CU34,DA34,DG34,DM34,DS34,EE34,EK34,CO34,DY34)/BULLETIN!$F$38*100</f>
        <v>0</v>
      </c>
      <c r="EW34" s="52" t="str">
        <f t="shared" si="4"/>
        <v>10e</v>
      </c>
      <c r="EX34" s="51">
        <f>SUM(P34,V34,AB34,AH34,AN34,AT34,AZ34,BF34,BL34,BR34,BX34,CD34,CJ34,CV34,DB34,DH34,DN34,DS34,EF34,EL34,CP34,DZ34)/BULLETIN!$G$38*100</f>
        <v>0</v>
      </c>
      <c r="EY34" s="52" t="str">
        <f t="shared" si="5"/>
        <v>10e</v>
      </c>
      <c r="EZ34" s="51">
        <f>SUM(Q34,W34,AC34,AI34,AO34,AU34,BA34,BG34,BM34,BS34,BY34,CE34,CK34,CW34,DC34,DI34,DO34,DU34,EG34,EM34,EA34,CQ34)/BULLETIN!$H$38*100</f>
        <v>0</v>
      </c>
      <c r="FA34" s="52" t="str">
        <f t="shared" si="6"/>
        <v>10e</v>
      </c>
      <c r="FB34" s="51">
        <f>SUM(O34:Q34,U34:W34,AA34:AC34,AG34:AI34,AM34:AO34,AS34:AU34,AY34:BA34,BE34:BG34,BK34:BM34,BQ34:BS34,BW34:BY34,CC34:CE34,CI34:CK34,CU34:CW34,DA34:DC34,DM34:DO34,DS34:DU34,EE34:EG34,EK34:EM34,DG34:DI34,CO34:CQ34,DY34:EA34)/BULLETIN!$I$38*100</f>
        <v>0</v>
      </c>
      <c r="FC34" s="52" t="str">
        <f t="shared" si="7"/>
        <v>10e</v>
      </c>
      <c r="FD34" s="51">
        <f>SUM(L34:EM34)/BULLETIN!$J$38*100</f>
        <v>0</v>
      </c>
      <c r="FE34" s="52" t="str">
        <f t="shared" si="8"/>
        <v>10e</v>
      </c>
    </row>
    <row r="35" spans="1:161" ht="15.5" x14ac:dyDescent="0.35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6"/>
      <c r="L35" s="8"/>
      <c r="M35" s="1"/>
      <c r="N35" s="1"/>
      <c r="O35" s="1"/>
      <c r="P35" s="1"/>
      <c r="Q35" s="9"/>
      <c r="R35" s="10"/>
      <c r="S35" s="1"/>
      <c r="T35" s="1"/>
      <c r="U35" s="1"/>
      <c r="V35" s="2"/>
      <c r="W35" s="18"/>
      <c r="X35" s="8"/>
      <c r="Y35" s="1"/>
      <c r="Z35" s="1"/>
      <c r="AA35" s="1"/>
      <c r="AB35" s="1"/>
      <c r="AC35" s="9"/>
      <c r="AD35" s="8"/>
      <c r="AE35" s="1"/>
      <c r="AF35" s="1"/>
      <c r="AG35" s="1"/>
      <c r="AH35" s="1"/>
      <c r="AI35" s="9"/>
      <c r="AJ35" s="10"/>
      <c r="AK35" s="1"/>
      <c r="AL35" s="1"/>
      <c r="AM35" s="1"/>
      <c r="AN35" s="2"/>
      <c r="AO35" s="18"/>
      <c r="AP35" s="8"/>
      <c r="AQ35" s="1"/>
      <c r="AR35" s="1"/>
      <c r="AS35" s="2"/>
      <c r="AT35" s="1"/>
      <c r="AU35" s="9"/>
      <c r="AV35" s="8"/>
      <c r="AW35" s="1"/>
      <c r="AX35" s="1"/>
      <c r="AY35" s="2"/>
      <c r="AZ35" s="1"/>
      <c r="BA35" s="9"/>
      <c r="BB35" s="10"/>
      <c r="BC35" s="1"/>
      <c r="BD35" s="1"/>
      <c r="BE35" s="1"/>
      <c r="BF35" s="2"/>
      <c r="BG35" s="1"/>
      <c r="BH35" s="10"/>
      <c r="BI35" s="1"/>
      <c r="BJ35" s="1"/>
      <c r="BK35" s="2"/>
      <c r="BL35" s="1"/>
      <c r="BM35" s="9"/>
      <c r="BN35" s="10"/>
      <c r="BO35" s="1"/>
      <c r="BP35" s="1"/>
      <c r="BQ35" s="1"/>
      <c r="BR35" s="2"/>
      <c r="BS35" s="18"/>
      <c r="BT35" s="8"/>
      <c r="BU35" s="1"/>
      <c r="BV35" s="1"/>
      <c r="BW35" s="2"/>
      <c r="BX35" s="1"/>
      <c r="BY35" s="9"/>
      <c r="BZ35" s="10"/>
      <c r="CA35" s="1"/>
      <c r="CB35" s="1"/>
      <c r="CC35" s="1"/>
      <c r="CD35" s="2"/>
      <c r="CE35" s="18"/>
      <c r="CF35" s="10"/>
      <c r="CG35" s="1"/>
      <c r="CH35" s="1"/>
      <c r="CI35" s="1"/>
      <c r="CJ35" s="2"/>
      <c r="CK35" s="18"/>
      <c r="CL35" s="10"/>
      <c r="CM35" s="1"/>
      <c r="CN35" s="1"/>
      <c r="CO35" s="1"/>
      <c r="CP35" s="2"/>
      <c r="CQ35" s="18"/>
      <c r="CR35" s="10"/>
      <c r="CS35" s="1"/>
      <c r="CT35" s="1"/>
      <c r="CU35" s="1"/>
      <c r="CV35" s="2"/>
      <c r="CW35" s="18"/>
      <c r="CX35" s="8"/>
      <c r="CY35" s="1"/>
      <c r="CZ35" s="1"/>
      <c r="DA35" s="1"/>
      <c r="DB35" s="2"/>
      <c r="DC35" s="18"/>
      <c r="DD35" s="8"/>
      <c r="DE35" s="1"/>
      <c r="DF35" s="1"/>
      <c r="DG35" s="1"/>
      <c r="DH35" s="1"/>
      <c r="DI35" s="2"/>
      <c r="DJ35" s="60"/>
      <c r="DK35" s="1"/>
      <c r="DL35" s="1"/>
      <c r="DM35" s="1"/>
      <c r="DN35" s="1"/>
      <c r="DO35" s="61"/>
      <c r="DP35" s="10"/>
      <c r="DQ35" s="1"/>
      <c r="DR35" s="1"/>
      <c r="DS35" s="1"/>
      <c r="DT35" s="1"/>
      <c r="DU35" s="61"/>
      <c r="DV35" s="60"/>
      <c r="DW35" s="1"/>
      <c r="DX35" s="1"/>
      <c r="DY35" s="1"/>
      <c r="DZ35" s="1"/>
      <c r="EA35" s="61"/>
      <c r="EB35" s="10"/>
      <c r="EC35" s="1"/>
      <c r="ED35" s="1"/>
      <c r="EE35" s="1"/>
      <c r="EF35" s="1"/>
      <c r="EG35" s="61"/>
      <c r="EH35" s="10"/>
      <c r="EI35" s="1"/>
      <c r="EJ35" s="1"/>
      <c r="EK35" s="1"/>
      <c r="EL35" s="2"/>
      <c r="EM35" s="1"/>
      <c r="EN35" s="51">
        <f>SUM(L35,R35,X35,AD35,AJ35,AP35,AV35,BB35,BH35,BN35,BT35,BZ35,CF35,CL35,CR35,CX35,DD35,DJ35,DP35,DV35,EB35,EH35)/BULLETIN!$B$38*100</f>
        <v>0</v>
      </c>
      <c r="EO35" s="52" t="str">
        <f t="shared" si="0"/>
        <v>10e</v>
      </c>
      <c r="EP35" s="51">
        <f>SUM(M35,S35,Y35,AE35,AK35,AQ35,AW35,BC35,BI35,BO35,BU35,CA35,CG35,CS35,CY35,DE35,DK35,DQ35,EC35,EI35,CM35,DW35)/BULLETIN!$C$38*100</f>
        <v>0</v>
      </c>
      <c r="EQ35" s="52" t="str">
        <f t="shared" si="1"/>
        <v>10e</v>
      </c>
      <c r="ER35" s="51">
        <f>SUM(N35,T35,Z35,AF35,AL35,AR35,AX35,BD35,BJ35,BP35,BV35,CB35,CH35,CT35,CZ35,DF35,DL35,DR35,ED35,EJ35,CN35,DX35)/BULLETIN!$D$38*100</f>
        <v>0</v>
      </c>
      <c r="ES35" s="52" t="str">
        <f t="shared" si="2"/>
        <v>10e</v>
      </c>
      <c r="ET35" s="51">
        <f>SUM(L35:N35,R35:T35,X35:Z35,AD35:AF35,AJ35:AL35,AP35:AR35,AV35:AX35,BB35:BD35,BH35:BJ35,BN35:BP35,BT35:BV35,BZ35:CB35,CF35:CH35,CR35:CT35,CX35:CZ35,DD35:DF35,DJ35:DL35,DP35:DR35,EB35:ED35,EH35:EJ35,CL35:CN35,DV35:DX35)/BULLETIN!$E$38*100</f>
        <v>0</v>
      </c>
      <c r="EU35" s="52" t="str">
        <f t="shared" si="3"/>
        <v>10e</v>
      </c>
      <c r="EV35" s="51">
        <f>SUM(O35,U35,AA35,AG35,AM35,AS35,AY35,BE35,BK35,BQ35,BW35,CC35,CI35,CU35,DA35,DG35,DM35,DS35,EE35,EK35,CO35,DY35)/BULLETIN!$F$38*100</f>
        <v>0</v>
      </c>
      <c r="EW35" s="52" t="str">
        <f t="shared" si="4"/>
        <v>10e</v>
      </c>
      <c r="EX35" s="51">
        <f>SUM(P35,V35,AB35,AH35,AN35,AT35,AZ35,BF35,BL35,BR35,BX35,CD35,CJ35,CV35,DB35,DH35,DN35,DS35,EF35,EL35,CP35,DZ35)/BULLETIN!$G$38*100</f>
        <v>0</v>
      </c>
      <c r="EY35" s="52" t="str">
        <f t="shared" si="5"/>
        <v>10e</v>
      </c>
      <c r="EZ35" s="51">
        <f>SUM(Q35,W35,AC35,AI35,AO35,AU35,BA35,BG35,BM35,BS35,BY35,CE35,CK35,CW35,DC35,DI35,DO35,DU35,EG35,EM35,EA35,CQ35)/BULLETIN!$H$38*100</f>
        <v>0</v>
      </c>
      <c r="FA35" s="52" t="str">
        <f t="shared" si="6"/>
        <v>10e</v>
      </c>
      <c r="FB35" s="51">
        <f>SUM(O35:Q35,U35:W35,AA35:AC35,AG35:AI35,AM35:AO35,AS35:AU35,AY35:BA35,BE35:BG35,BK35:BM35,BQ35:BS35,BW35:BY35,CC35:CE35,CI35:CK35,CU35:CW35,DA35:DC35,DM35:DO35,DS35:DU35,EE35:EG35,EK35:EM35,DG35:DI35,CO35:CQ35,DY35:EA35)/BULLETIN!$I$38*100</f>
        <v>0</v>
      </c>
      <c r="FC35" s="52" t="str">
        <f t="shared" si="7"/>
        <v>10e</v>
      </c>
      <c r="FD35" s="51">
        <f>SUM(L35:EM35)/BULLETIN!$J$38*100</f>
        <v>0</v>
      </c>
      <c r="FE35" s="52" t="str">
        <f t="shared" si="8"/>
        <v>10e</v>
      </c>
    </row>
    <row r="36" spans="1:161" ht="15.5" x14ac:dyDescent="0.35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6"/>
      <c r="L36" s="8"/>
      <c r="M36" s="1"/>
      <c r="N36" s="1"/>
      <c r="O36" s="1"/>
      <c r="P36" s="1"/>
      <c r="Q36" s="9"/>
      <c r="R36" s="10"/>
      <c r="S36" s="1"/>
      <c r="T36" s="1"/>
      <c r="U36" s="1"/>
      <c r="V36" s="2"/>
      <c r="W36" s="18"/>
      <c r="X36" s="8"/>
      <c r="Y36" s="1"/>
      <c r="Z36" s="1"/>
      <c r="AA36" s="1"/>
      <c r="AB36" s="1"/>
      <c r="AC36" s="9"/>
      <c r="AD36" s="8"/>
      <c r="AE36" s="1"/>
      <c r="AF36" s="1"/>
      <c r="AG36" s="1"/>
      <c r="AH36" s="1"/>
      <c r="AI36" s="9"/>
      <c r="AJ36" s="10"/>
      <c r="AK36" s="1"/>
      <c r="AL36" s="1"/>
      <c r="AM36" s="1"/>
      <c r="AN36" s="2"/>
      <c r="AO36" s="18"/>
      <c r="AP36" s="8"/>
      <c r="AQ36" s="1"/>
      <c r="AR36" s="1"/>
      <c r="AS36" s="2"/>
      <c r="AT36" s="1"/>
      <c r="AU36" s="9"/>
      <c r="AV36" s="8"/>
      <c r="AW36" s="1"/>
      <c r="AX36" s="1"/>
      <c r="AY36" s="2"/>
      <c r="AZ36" s="1"/>
      <c r="BA36" s="9"/>
      <c r="BB36" s="10"/>
      <c r="BC36" s="1"/>
      <c r="BD36" s="1"/>
      <c r="BE36" s="1"/>
      <c r="BF36" s="2"/>
      <c r="BG36" s="1"/>
      <c r="BH36" s="10"/>
      <c r="BI36" s="1"/>
      <c r="BJ36" s="1"/>
      <c r="BK36" s="2"/>
      <c r="BL36" s="1"/>
      <c r="BM36" s="9"/>
      <c r="BN36" s="10"/>
      <c r="BO36" s="1"/>
      <c r="BP36" s="1"/>
      <c r="BQ36" s="1"/>
      <c r="BR36" s="2"/>
      <c r="BS36" s="18"/>
      <c r="BT36" s="8"/>
      <c r="BU36" s="1"/>
      <c r="BV36" s="1"/>
      <c r="BW36" s="2"/>
      <c r="BX36" s="1"/>
      <c r="BY36" s="9"/>
      <c r="BZ36" s="10"/>
      <c r="CA36" s="1"/>
      <c r="CB36" s="1"/>
      <c r="CC36" s="1"/>
      <c r="CD36" s="2"/>
      <c r="CE36" s="18"/>
      <c r="CF36" s="10"/>
      <c r="CG36" s="1"/>
      <c r="CH36" s="1"/>
      <c r="CI36" s="1"/>
      <c r="CJ36" s="2"/>
      <c r="CK36" s="18"/>
      <c r="CL36" s="10"/>
      <c r="CM36" s="1"/>
      <c r="CN36" s="1"/>
      <c r="CO36" s="1"/>
      <c r="CP36" s="2"/>
      <c r="CQ36" s="18"/>
      <c r="CR36" s="10"/>
      <c r="CS36" s="1"/>
      <c r="CT36" s="1"/>
      <c r="CU36" s="1"/>
      <c r="CV36" s="2"/>
      <c r="CW36" s="18"/>
      <c r="CX36" s="8"/>
      <c r="CY36" s="1"/>
      <c r="CZ36" s="1"/>
      <c r="DA36" s="1"/>
      <c r="DB36" s="2"/>
      <c r="DC36" s="18"/>
      <c r="DD36" s="8"/>
      <c r="DE36" s="1"/>
      <c r="DF36" s="1"/>
      <c r="DG36" s="1"/>
      <c r="DH36" s="1"/>
      <c r="DI36" s="2"/>
      <c r="DJ36" s="60"/>
      <c r="DK36" s="1"/>
      <c r="DL36" s="1"/>
      <c r="DM36" s="1"/>
      <c r="DN36" s="1"/>
      <c r="DO36" s="61"/>
      <c r="DP36" s="10"/>
      <c r="DQ36" s="1"/>
      <c r="DR36" s="1"/>
      <c r="DS36" s="1"/>
      <c r="DT36" s="1"/>
      <c r="DU36" s="61"/>
      <c r="DV36" s="60"/>
      <c r="DW36" s="1"/>
      <c r="DX36" s="1"/>
      <c r="DY36" s="1"/>
      <c r="DZ36" s="1"/>
      <c r="EA36" s="61"/>
      <c r="EB36" s="10"/>
      <c r="EC36" s="1"/>
      <c r="ED36" s="1"/>
      <c r="EE36" s="1"/>
      <c r="EF36" s="1"/>
      <c r="EG36" s="61"/>
      <c r="EH36" s="10"/>
      <c r="EI36" s="1"/>
      <c r="EJ36" s="1"/>
      <c r="EK36" s="1"/>
      <c r="EL36" s="2"/>
      <c r="EM36" s="1"/>
      <c r="EN36" s="51">
        <f>SUM(L36,R36,X36,AD36,AJ36,AP36,AV36,BB36,BH36,BN36,BT36,BZ36,CF36,CL36,CR36,CX36,DD36,DJ36,DP36,DV36,EB36,EH36)/BULLETIN!$B$38*100</f>
        <v>0</v>
      </c>
      <c r="EO36" s="52" t="str">
        <f t="shared" si="0"/>
        <v>10e</v>
      </c>
      <c r="EP36" s="51">
        <f>SUM(M36,S36,Y36,AE36,AK36,AQ36,AW36,BC36,BI36,BO36,BU36,CA36,CG36,CS36,CY36,DE36,DK36,DQ36,EC36,EI36,CM36,DW36)/BULLETIN!$C$38*100</f>
        <v>0</v>
      </c>
      <c r="EQ36" s="52" t="str">
        <f t="shared" si="1"/>
        <v>10e</v>
      </c>
      <c r="ER36" s="51">
        <f>SUM(N36,T36,Z36,AF36,AL36,AR36,AX36,BD36,BJ36,BP36,BV36,CB36,CH36,CT36,CZ36,DF36,DL36,DR36,ED36,EJ36,CN36,DX36)/BULLETIN!$D$38*100</f>
        <v>0</v>
      </c>
      <c r="ES36" s="52" t="str">
        <f t="shared" si="2"/>
        <v>10e</v>
      </c>
      <c r="ET36" s="51">
        <f>SUM(L36:N36,R36:T36,X36:Z36,AD36:AF36,AJ36:AL36,AP36:AR36,AV36:AX36,BB36:BD36,BH36:BJ36,BN36:BP36,BT36:BV36,BZ36:CB36,CF36:CH36,CR36:CT36,CX36:CZ36,DD36:DF36,DJ36:DL36,DP36:DR36,EB36:ED36,EH36:EJ36,CL36:CN36,DV36:DX36)/BULLETIN!$E$38*100</f>
        <v>0</v>
      </c>
      <c r="EU36" s="52" t="str">
        <f t="shared" si="3"/>
        <v>10e</v>
      </c>
      <c r="EV36" s="51">
        <f>SUM(O36,U36,AA36,AG36,AM36,AS36,AY36,BE36,BK36,BQ36,BW36,CC36,CI36,CU36,DA36,DG36,DM36,DS36,EE36,EK36,CO36,DY36)/BULLETIN!$F$38*100</f>
        <v>0</v>
      </c>
      <c r="EW36" s="52" t="str">
        <f t="shared" si="4"/>
        <v>10e</v>
      </c>
      <c r="EX36" s="51">
        <f>SUM(P36,V36,AB36,AH36,AN36,AT36,AZ36,BF36,BL36,BR36,BX36,CD36,CJ36,CV36,DB36,DH36,DN36,DS36,EF36,EL36,CP36,DZ36)/BULLETIN!$G$38*100</f>
        <v>0</v>
      </c>
      <c r="EY36" s="52" t="str">
        <f t="shared" si="5"/>
        <v>10e</v>
      </c>
      <c r="EZ36" s="51">
        <f>SUM(Q36,W36,AC36,AI36,AO36,AU36,BA36,BG36,BM36,BS36,BY36,CE36,CK36,CW36,DC36,DI36,DO36,DU36,EG36,EM36,EA36,CQ36)/BULLETIN!$H$38*100</f>
        <v>0</v>
      </c>
      <c r="FA36" s="52" t="str">
        <f t="shared" si="6"/>
        <v>10e</v>
      </c>
      <c r="FB36" s="51">
        <f>SUM(O36:Q36,U36:W36,AA36:AC36,AG36:AI36,AM36:AO36,AS36:AU36,AY36:BA36,BE36:BG36,BK36:BM36,BQ36:BS36,BW36:BY36,CC36:CE36,CI36:CK36,CU36:CW36,DA36:DC36,DM36:DO36,DS36:DU36,EE36:EG36,EK36:EM36,DG36:DI36,CO36:CQ36,DY36:EA36)/BULLETIN!$I$38*100</f>
        <v>0</v>
      </c>
      <c r="FC36" s="52" t="str">
        <f t="shared" si="7"/>
        <v>10e</v>
      </c>
      <c r="FD36" s="51">
        <f>SUM(L36:EM36)/BULLETIN!$J$38*100</f>
        <v>0</v>
      </c>
      <c r="FE36" s="52" t="str">
        <f t="shared" si="8"/>
        <v>10e</v>
      </c>
    </row>
    <row r="37" spans="1:161" ht="15.5" x14ac:dyDescent="0.35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6"/>
      <c r="L37" s="8"/>
      <c r="M37" s="1"/>
      <c r="N37" s="1"/>
      <c r="O37" s="1"/>
      <c r="P37" s="1"/>
      <c r="Q37" s="9"/>
      <c r="R37" s="10"/>
      <c r="S37" s="1"/>
      <c r="T37" s="1"/>
      <c r="U37" s="1"/>
      <c r="V37" s="2"/>
      <c r="W37" s="18"/>
      <c r="X37" s="8"/>
      <c r="Y37" s="1"/>
      <c r="Z37" s="1"/>
      <c r="AA37" s="1"/>
      <c r="AB37" s="1"/>
      <c r="AC37" s="9"/>
      <c r="AD37" s="8"/>
      <c r="AE37" s="1"/>
      <c r="AF37" s="1"/>
      <c r="AG37" s="1"/>
      <c r="AH37" s="1"/>
      <c r="AI37" s="9"/>
      <c r="AJ37" s="10"/>
      <c r="AK37" s="1"/>
      <c r="AL37" s="1"/>
      <c r="AM37" s="1"/>
      <c r="AN37" s="2"/>
      <c r="AO37" s="18"/>
      <c r="AP37" s="8"/>
      <c r="AQ37" s="1"/>
      <c r="AR37" s="1"/>
      <c r="AS37" s="2"/>
      <c r="AT37" s="1"/>
      <c r="AU37" s="9"/>
      <c r="AV37" s="8"/>
      <c r="AW37" s="1"/>
      <c r="AX37" s="1"/>
      <c r="AY37" s="2"/>
      <c r="AZ37" s="1"/>
      <c r="BA37" s="9"/>
      <c r="BB37" s="10"/>
      <c r="BC37" s="1"/>
      <c r="BD37" s="1"/>
      <c r="BE37" s="1"/>
      <c r="BF37" s="2"/>
      <c r="BG37" s="1"/>
      <c r="BH37" s="10"/>
      <c r="BI37" s="1"/>
      <c r="BJ37" s="1"/>
      <c r="BK37" s="2"/>
      <c r="BL37" s="1"/>
      <c r="BM37" s="9"/>
      <c r="BN37" s="10"/>
      <c r="BO37" s="1"/>
      <c r="BP37" s="1"/>
      <c r="BQ37" s="1"/>
      <c r="BR37" s="2"/>
      <c r="BS37" s="18"/>
      <c r="BT37" s="8"/>
      <c r="BU37" s="1"/>
      <c r="BV37" s="1"/>
      <c r="BW37" s="2"/>
      <c r="BX37" s="1"/>
      <c r="BY37" s="9"/>
      <c r="BZ37" s="10"/>
      <c r="CA37" s="1"/>
      <c r="CB37" s="1"/>
      <c r="CC37" s="1"/>
      <c r="CD37" s="2"/>
      <c r="CE37" s="18"/>
      <c r="CF37" s="10"/>
      <c r="CG37" s="1"/>
      <c r="CH37" s="1"/>
      <c r="CI37" s="1"/>
      <c r="CJ37" s="2"/>
      <c r="CK37" s="18"/>
      <c r="CL37" s="10"/>
      <c r="CM37" s="1"/>
      <c r="CN37" s="1"/>
      <c r="CO37" s="1"/>
      <c r="CP37" s="2"/>
      <c r="CQ37" s="18"/>
      <c r="CR37" s="10"/>
      <c r="CS37" s="1"/>
      <c r="CT37" s="1"/>
      <c r="CU37" s="1"/>
      <c r="CV37" s="2"/>
      <c r="CW37" s="18"/>
      <c r="CX37" s="8"/>
      <c r="CY37" s="1"/>
      <c r="CZ37" s="1"/>
      <c r="DA37" s="1"/>
      <c r="DB37" s="2"/>
      <c r="DC37" s="18"/>
      <c r="DD37" s="8"/>
      <c r="DE37" s="1"/>
      <c r="DF37" s="1"/>
      <c r="DG37" s="1"/>
      <c r="DH37" s="1"/>
      <c r="DI37" s="2"/>
      <c r="DJ37" s="60"/>
      <c r="DK37" s="1"/>
      <c r="DL37" s="1"/>
      <c r="DM37" s="1"/>
      <c r="DN37" s="1"/>
      <c r="DO37" s="61"/>
      <c r="DP37" s="10"/>
      <c r="DQ37" s="1"/>
      <c r="DR37" s="1"/>
      <c r="DS37" s="1"/>
      <c r="DT37" s="1"/>
      <c r="DU37" s="61"/>
      <c r="DV37" s="60"/>
      <c r="DW37" s="1"/>
      <c r="DX37" s="1"/>
      <c r="DY37" s="1"/>
      <c r="DZ37" s="1"/>
      <c r="EA37" s="61"/>
      <c r="EB37" s="10"/>
      <c r="EC37" s="1"/>
      <c r="ED37" s="1"/>
      <c r="EE37" s="1"/>
      <c r="EF37" s="1"/>
      <c r="EG37" s="61"/>
      <c r="EH37" s="10"/>
      <c r="EI37" s="1"/>
      <c r="EJ37" s="1"/>
      <c r="EK37" s="1"/>
      <c r="EL37" s="2"/>
      <c r="EM37" s="1"/>
      <c r="EN37" s="51">
        <f>SUM(L37,R37,X37,AD37,AJ37,AP37,AV37,BB37,BH37,BN37,BT37,BZ37,CF37,CL37,CR37,CX37,DD37,DJ37,DP37,DV37,EB37,EH37)/BULLETIN!$B$38*100</f>
        <v>0</v>
      </c>
      <c r="EO37" s="52" t="str">
        <f t="shared" si="0"/>
        <v>10e</v>
      </c>
      <c r="EP37" s="51">
        <f>SUM(M37,S37,Y37,AE37,AK37,AQ37,AW37,BC37,BI37,BO37,BU37,CA37,CG37,CS37,CY37,DE37,DK37,DQ37,EC37,EI37,CM37,DW37)/BULLETIN!$C$38*100</f>
        <v>0</v>
      </c>
      <c r="EQ37" s="52" t="str">
        <f t="shared" si="1"/>
        <v>10e</v>
      </c>
      <c r="ER37" s="51">
        <f>SUM(N37,T37,Z37,AF37,AL37,AR37,AX37,BD37,BJ37,BP37,BV37,CB37,CH37,CT37,CZ37,DF37,DL37,DR37,ED37,EJ37,CN37,DX37)/BULLETIN!$D$38*100</f>
        <v>0</v>
      </c>
      <c r="ES37" s="52" t="str">
        <f t="shared" si="2"/>
        <v>10e</v>
      </c>
      <c r="ET37" s="51">
        <f>SUM(L37:N37,R37:T37,X37:Z37,AD37:AF37,AJ37:AL37,AP37:AR37,AV37:AX37,BB37:BD37,BH37:BJ37,BN37:BP37,BT37:BV37,BZ37:CB37,CF37:CH37,CR37:CT37,CX37:CZ37,DD37:DF37,DJ37:DL37,DP37:DR37,EB37:ED37,EH37:EJ37,CL37:CN37,DV37:DX37)/BULLETIN!$E$38*100</f>
        <v>0</v>
      </c>
      <c r="EU37" s="52" t="str">
        <f t="shared" si="3"/>
        <v>10e</v>
      </c>
      <c r="EV37" s="51">
        <f>SUM(O37,U37,AA37,AG37,AM37,AS37,AY37,BE37,BK37,BQ37,BW37,CC37,CI37,CU37,DA37,DG37,DM37,DS37,EE37,EK37,CO37,DY37)/BULLETIN!$F$38*100</f>
        <v>0</v>
      </c>
      <c r="EW37" s="52" t="str">
        <f t="shared" si="4"/>
        <v>10e</v>
      </c>
      <c r="EX37" s="51">
        <f>SUM(P37,V37,AB37,AH37,AN37,AT37,AZ37,BF37,BL37,BR37,BX37,CD37,CJ37,CV37,DB37,DH37,DN37,DS37,EF37,EL37,CP37,DZ37)/BULLETIN!$G$38*100</f>
        <v>0</v>
      </c>
      <c r="EY37" s="52" t="str">
        <f t="shared" si="5"/>
        <v>10e</v>
      </c>
      <c r="EZ37" s="51">
        <f>SUM(Q37,W37,AC37,AI37,AO37,AU37,BA37,BG37,BM37,BS37,BY37,CE37,CK37,CW37,DC37,DI37,DO37,DU37,EG37,EM37,EA37,CQ37)/BULLETIN!$H$38*100</f>
        <v>0</v>
      </c>
      <c r="FA37" s="52" t="str">
        <f t="shared" si="6"/>
        <v>10e</v>
      </c>
      <c r="FB37" s="51">
        <f>SUM(O37:Q37,U37:W37,AA37:AC37,AG37:AI37,AM37:AO37,AS37:AU37,AY37:BA37,BE37:BG37,BK37:BM37,BQ37:BS37,BW37:BY37,CC37:CE37,CI37:CK37,CU37:CW37,DA37:DC37,DM37:DO37,DS37:DU37,EE37:EG37,EK37:EM37,DG37:DI37,CO37:CQ37,DY37:EA37)/BULLETIN!$I$38*100</f>
        <v>0</v>
      </c>
      <c r="FC37" s="52" t="str">
        <f t="shared" si="7"/>
        <v>10e</v>
      </c>
      <c r="FD37" s="51">
        <f>SUM(L37:EM37)/BULLETIN!$J$38*100</f>
        <v>0</v>
      </c>
      <c r="FE37" s="52" t="str">
        <f t="shared" si="8"/>
        <v>10e</v>
      </c>
    </row>
    <row r="38" spans="1:161" ht="15.5" x14ac:dyDescent="0.35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6"/>
      <c r="L38" s="8"/>
      <c r="M38" s="1"/>
      <c r="N38" s="1"/>
      <c r="O38" s="1"/>
      <c r="P38" s="1"/>
      <c r="Q38" s="9"/>
      <c r="R38" s="10"/>
      <c r="S38" s="1"/>
      <c r="T38" s="1"/>
      <c r="U38" s="1"/>
      <c r="V38" s="2"/>
      <c r="W38" s="18"/>
      <c r="X38" s="8"/>
      <c r="Y38" s="1"/>
      <c r="Z38" s="1"/>
      <c r="AA38" s="1"/>
      <c r="AB38" s="1"/>
      <c r="AC38" s="9"/>
      <c r="AD38" s="8"/>
      <c r="AE38" s="1"/>
      <c r="AF38" s="1"/>
      <c r="AG38" s="1"/>
      <c r="AH38" s="1"/>
      <c r="AI38" s="9"/>
      <c r="AJ38" s="10"/>
      <c r="AK38" s="1"/>
      <c r="AL38" s="1"/>
      <c r="AM38" s="1"/>
      <c r="AN38" s="2"/>
      <c r="AO38" s="18"/>
      <c r="AP38" s="8"/>
      <c r="AQ38" s="1"/>
      <c r="AR38" s="1"/>
      <c r="AS38" s="2"/>
      <c r="AT38" s="1"/>
      <c r="AU38" s="9"/>
      <c r="AV38" s="8"/>
      <c r="AW38" s="1"/>
      <c r="AX38" s="1"/>
      <c r="AY38" s="2"/>
      <c r="AZ38" s="1"/>
      <c r="BA38" s="9"/>
      <c r="BB38" s="10"/>
      <c r="BC38" s="1"/>
      <c r="BD38" s="1"/>
      <c r="BE38" s="1"/>
      <c r="BF38" s="2"/>
      <c r="BG38" s="1"/>
      <c r="BH38" s="10"/>
      <c r="BI38" s="1"/>
      <c r="BJ38" s="1"/>
      <c r="BK38" s="2"/>
      <c r="BL38" s="1"/>
      <c r="BM38" s="9"/>
      <c r="BN38" s="10"/>
      <c r="BO38" s="1"/>
      <c r="BP38" s="1"/>
      <c r="BQ38" s="1"/>
      <c r="BR38" s="2"/>
      <c r="BS38" s="18"/>
      <c r="BT38" s="8"/>
      <c r="BU38" s="1"/>
      <c r="BV38" s="1"/>
      <c r="BW38" s="2"/>
      <c r="BX38" s="1"/>
      <c r="BY38" s="9"/>
      <c r="BZ38" s="10"/>
      <c r="CA38" s="1"/>
      <c r="CB38" s="1"/>
      <c r="CC38" s="1"/>
      <c r="CD38" s="2"/>
      <c r="CE38" s="18"/>
      <c r="CF38" s="10"/>
      <c r="CG38" s="1"/>
      <c r="CH38" s="1"/>
      <c r="CI38" s="1"/>
      <c r="CJ38" s="2"/>
      <c r="CK38" s="18"/>
      <c r="CL38" s="10"/>
      <c r="CM38" s="1"/>
      <c r="CN38" s="1"/>
      <c r="CO38" s="1"/>
      <c r="CP38" s="2"/>
      <c r="CQ38" s="18"/>
      <c r="CR38" s="10"/>
      <c r="CS38" s="1"/>
      <c r="CT38" s="1"/>
      <c r="CU38" s="1"/>
      <c r="CV38" s="2"/>
      <c r="CW38" s="18"/>
      <c r="CX38" s="8"/>
      <c r="CY38" s="1"/>
      <c r="CZ38" s="1"/>
      <c r="DA38" s="1"/>
      <c r="DB38" s="2"/>
      <c r="DC38" s="18"/>
      <c r="DD38" s="8"/>
      <c r="DE38" s="1"/>
      <c r="DF38" s="1"/>
      <c r="DG38" s="1"/>
      <c r="DH38" s="1"/>
      <c r="DI38" s="2"/>
      <c r="DJ38" s="60"/>
      <c r="DK38" s="1"/>
      <c r="DL38" s="1"/>
      <c r="DM38" s="1"/>
      <c r="DN38" s="1"/>
      <c r="DO38" s="61"/>
      <c r="DP38" s="10"/>
      <c r="DQ38" s="1"/>
      <c r="DR38" s="1"/>
      <c r="DS38" s="1"/>
      <c r="DT38" s="1"/>
      <c r="DU38" s="61"/>
      <c r="DV38" s="60"/>
      <c r="DW38" s="1"/>
      <c r="DX38" s="1"/>
      <c r="DY38" s="1"/>
      <c r="DZ38" s="1"/>
      <c r="EA38" s="61"/>
      <c r="EB38" s="10"/>
      <c r="EC38" s="1"/>
      <c r="ED38" s="1"/>
      <c r="EE38" s="1"/>
      <c r="EF38" s="1"/>
      <c r="EG38" s="61"/>
      <c r="EH38" s="10"/>
      <c r="EI38" s="1"/>
      <c r="EJ38" s="1"/>
      <c r="EK38" s="1"/>
      <c r="EL38" s="2"/>
      <c r="EM38" s="1"/>
      <c r="EN38" s="51">
        <f>SUM(L38,R38,X38,AD38,AJ38,AP38,AV38,BB38,BH38,BN38,BT38,BZ38,CF38,CL38,CR38,CX38,DD38,DJ38,DP38,DV38,EB38,EH38)/BULLETIN!$B$38*100</f>
        <v>0</v>
      </c>
      <c r="EO38" s="52" t="str">
        <f t="shared" si="0"/>
        <v>10e</v>
      </c>
      <c r="EP38" s="51">
        <f>SUM(M38,S38,Y38,AE38,AK38,AQ38,AW38,BC38,BI38,BO38,BU38,CA38,CG38,CS38,CY38,DE38,DK38,DQ38,EC38,EI38,CM38,DW38)/BULLETIN!$C$38*100</f>
        <v>0</v>
      </c>
      <c r="EQ38" s="52" t="str">
        <f t="shared" si="1"/>
        <v>10e</v>
      </c>
      <c r="ER38" s="51">
        <f>SUM(N38,T38,Z38,AF38,AL38,AR38,AX38,BD38,BJ38,BP38,BV38,CB38,CH38,CT38,CZ38,DF38,DL38,DR38,ED38,EJ38,CN38,DX38)/BULLETIN!$D$38*100</f>
        <v>0</v>
      </c>
      <c r="ES38" s="52" t="str">
        <f t="shared" si="2"/>
        <v>10e</v>
      </c>
      <c r="ET38" s="51">
        <f>SUM(L38:N38,R38:T38,X38:Z38,AD38:AF38,AJ38:AL38,AP38:AR38,AV38:AX38,BB38:BD38,BH38:BJ38,BN38:BP38,BT38:BV38,BZ38:CB38,CF38:CH38,CR38:CT38,CX38:CZ38,DD38:DF38,DJ38:DL38,DP38:DR38,EB38:ED38,EH38:EJ38,CL38:CN38,DV38:DX38)/BULLETIN!$E$38*100</f>
        <v>0</v>
      </c>
      <c r="EU38" s="52" t="str">
        <f t="shared" si="3"/>
        <v>10e</v>
      </c>
      <c r="EV38" s="51">
        <f>SUM(O38,U38,AA38,AG38,AM38,AS38,AY38,BE38,BK38,BQ38,BW38,CC38,CI38,CU38,DA38,DG38,DM38,DS38,EE38,EK38,CO38,DY38)/BULLETIN!$F$38*100</f>
        <v>0</v>
      </c>
      <c r="EW38" s="52" t="str">
        <f t="shared" si="4"/>
        <v>10e</v>
      </c>
      <c r="EX38" s="51">
        <f>SUM(P38,V38,AB38,AH38,AN38,AT38,AZ38,BF38,BL38,BR38,BX38,CD38,CJ38,CV38,DB38,DH38,DN38,DS38,EF38,EL38,CP38,DZ38)/BULLETIN!$G$38*100</f>
        <v>0</v>
      </c>
      <c r="EY38" s="52" t="str">
        <f t="shared" si="5"/>
        <v>10e</v>
      </c>
      <c r="EZ38" s="51">
        <f>SUM(Q38,W38,AC38,AI38,AO38,AU38,BA38,BG38,BM38,BS38,BY38,CE38,CK38,CW38,DC38,DI38,DO38,DU38,EG38,EM38,EA38,CQ38)/BULLETIN!$H$38*100</f>
        <v>0</v>
      </c>
      <c r="FA38" s="52" t="str">
        <f t="shared" si="6"/>
        <v>10e</v>
      </c>
      <c r="FB38" s="51">
        <f>SUM(O38:Q38,U38:W38,AA38:AC38,AG38:AI38,AM38:AO38,AS38:AU38,AY38:BA38,BE38:BG38,BK38:BM38,BQ38:BS38,BW38:BY38,CC38:CE38,CI38:CK38,CU38:CW38,DA38:DC38,DM38:DO38,DS38:DU38,EE38:EG38,EK38:EM38,DG38:DI38,CO38:CQ38,DY38:EA38)/BULLETIN!$I$38*100</f>
        <v>0</v>
      </c>
      <c r="FC38" s="52" t="str">
        <f t="shared" si="7"/>
        <v>10e</v>
      </c>
      <c r="FD38" s="51">
        <f>SUM(L38:EM38)/BULLETIN!$J$38*100</f>
        <v>0</v>
      </c>
      <c r="FE38" s="52" t="str">
        <f t="shared" si="8"/>
        <v>10e</v>
      </c>
    </row>
    <row r="39" spans="1:161" ht="15.5" x14ac:dyDescent="0.35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6"/>
      <c r="L39" s="8"/>
      <c r="M39" s="1"/>
      <c r="N39" s="1"/>
      <c r="O39" s="1"/>
      <c r="P39" s="1"/>
      <c r="Q39" s="9"/>
      <c r="R39" s="10"/>
      <c r="S39" s="1"/>
      <c r="T39" s="1"/>
      <c r="U39" s="1"/>
      <c r="V39" s="2"/>
      <c r="W39" s="18"/>
      <c r="X39" s="8"/>
      <c r="Y39" s="1"/>
      <c r="Z39" s="1"/>
      <c r="AA39" s="1"/>
      <c r="AB39" s="1"/>
      <c r="AC39" s="9"/>
      <c r="AD39" s="8"/>
      <c r="AE39" s="1"/>
      <c r="AF39" s="1"/>
      <c r="AG39" s="1"/>
      <c r="AH39" s="1"/>
      <c r="AI39" s="9"/>
      <c r="AJ39" s="10"/>
      <c r="AK39" s="1"/>
      <c r="AL39" s="1"/>
      <c r="AM39" s="1"/>
      <c r="AN39" s="2"/>
      <c r="AO39" s="18"/>
      <c r="AP39" s="8"/>
      <c r="AQ39" s="1"/>
      <c r="AR39" s="1"/>
      <c r="AS39" s="2"/>
      <c r="AT39" s="1"/>
      <c r="AU39" s="9"/>
      <c r="AV39" s="8"/>
      <c r="AW39" s="1"/>
      <c r="AX39" s="1"/>
      <c r="AY39" s="2"/>
      <c r="AZ39" s="1"/>
      <c r="BA39" s="9"/>
      <c r="BB39" s="10"/>
      <c r="BC39" s="1"/>
      <c r="BD39" s="1"/>
      <c r="BE39" s="1"/>
      <c r="BF39" s="2"/>
      <c r="BG39" s="1"/>
      <c r="BH39" s="10"/>
      <c r="BI39" s="1"/>
      <c r="BJ39" s="1"/>
      <c r="BK39" s="2"/>
      <c r="BL39" s="1"/>
      <c r="BM39" s="9"/>
      <c r="BN39" s="10"/>
      <c r="BO39" s="1"/>
      <c r="BP39" s="1"/>
      <c r="BQ39" s="1"/>
      <c r="BR39" s="2"/>
      <c r="BS39" s="18"/>
      <c r="BT39" s="8"/>
      <c r="BU39" s="1"/>
      <c r="BV39" s="1"/>
      <c r="BW39" s="2"/>
      <c r="BX39" s="1"/>
      <c r="BY39" s="9"/>
      <c r="BZ39" s="10"/>
      <c r="CA39" s="1"/>
      <c r="CB39" s="1"/>
      <c r="CC39" s="1"/>
      <c r="CD39" s="2"/>
      <c r="CE39" s="18"/>
      <c r="CF39" s="10"/>
      <c r="CG39" s="1"/>
      <c r="CH39" s="1"/>
      <c r="CI39" s="1"/>
      <c r="CJ39" s="2"/>
      <c r="CK39" s="18"/>
      <c r="CL39" s="10"/>
      <c r="CM39" s="1"/>
      <c r="CN39" s="1"/>
      <c r="CO39" s="1"/>
      <c r="CP39" s="2"/>
      <c r="CQ39" s="18"/>
      <c r="CR39" s="10"/>
      <c r="CS39" s="1"/>
      <c r="CT39" s="1"/>
      <c r="CU39" s="1"/>
      <c r="CV39" s="2"/>
      <c r="CW39" s="18"/>
      <c r="CX39" s="8"/>
      <c r="CY39" s="1"/>
      <c r="CZ39" s="1"/>
      <c r="DA39" s="1"/>
      <c r="DB39" s="2"/>
      <c r="DC39" s="18"/>
      <c r="DD39" s="8"/>
      <c r="DE39" s="1"/>
      <c r="DF39" s="1"/>
      <c r="DG39" s="1"/>
      <c r="DH39" s="1"/>
      <c r="DI39" s="2"/>
      <c r="DJ39" s="60"/>
      <c r="DK39" s="1"/>
      <c r="DL39" s="1"/>
      <c r="DM39" s="1"/>
      <c r="DN39" s="1"/>
      <c r="DO39" s="61"/>
      <c r="DP39" s="10"/>
      <c r="DQ39" s="1"/>
      <c r="DR39" s="1"/>
      <c r="DS39" s="1"/>
      <c r="DT39" s="1"/>
      <c r="DU39" s="61"/>
      <c r="DV39" s="60"/>
      <c r="DW39" s="1"/>
      <c r="DX39" s="1"/>
      <c r="DY39" s="1"/>
      <c r="DZ39" s="1"/>
      <c r="EA39" s="61"/>
      <c r="EB39" s="10"/>
      <c r="EC39" s="1"/>
      <c r="ED39" s="1"/>
      <c r="EE39" s="1"/>
      <c r="EF39" s="1"/>
      <c r="EG39" s="61"/>
      <c r="EH39" s="10"/>
      <c r="EI39" s="1"/>
      <c r="EJ39" s="1"/>
      <c r="EK39" s="1"/>
      <c r="EL39" s="2"/>
      <c r="EM39" s="1"/>
      <c r="EN39" s="51">
        <f>SUM(L39,R39,X39,AD39,AJ39,AP39,AV39,BB39,BH39,BN39,BT39,BZ39,CF39,CL39,CR39,CX39,DD39,DJ39,DP39,DV39,EB39,EH39)/BULLETIN!$B$38*100</f>
        <v>0</v>
      </c>
      <c r="EO39" s="52" t="str">
        <f t="shared" si="0"/>
        <v>10e</v>
      </c>
      <c r="EP39" s="51">
        <f>SUM(M39,S39,Y39,AE39,AK39,AQ39,AW39,BC39,BI39,BO39,BU39,CA39,CG39,CS39,CY39,DE39,DK39,DQ39,EC39,EI39,CM39,DW39)/BULLETIN!$C$38*100</f>
        <v>0</v>
      </c>
      <c r="EQ39" s="52" t="str">
        <f t="shared" si="1"/>
        <v>10e</v>
      </c>
      <c r="ER39" s="51">
        <f>SUM(N39,T39,Z39,AF39,AL39,AR39,AX39,BD39,BJ39,BP39,BV39,CB39,CH39,CT39,CZ39,DF39,DL39,DR39,ED39,EJ39,CN39,DX39)/BULLETIN!$D$38*100</f>
        <v>0</v>
      </c>
      <c r="ES39" s="52" t="str">
        <f t="shared" si="2"/>
        <v>10e</v>
      </c>
      <c r="ET39" s="51">
        <f>SUM(L39:N39,R39:T39,X39:Z39,AD39:AF39,AJ39:AL39,AP39:AR39,AV39:AX39,BB39:BD39,BH39:BJ39,BN39:BP39,BT39:BV39,BZ39:CB39,CF39:CH39,CR39:CT39,CX39:CZ39,DD39:DF39,DJ39:DL39,DP39:DR39,EB39:ED39,EH39:EJ39,CL39:CN39,DV39:DX39)/BULLETIN!$E$38*100</f>
        <v>0</v>
      </c>
      <c r="EU39" s="52" t="str">
        <f t="shared" si="3"/>
        <v>10e</v>
      </c>
      <c r="EV39" s="51">
        <f>SUM(O39,U39,AA39,AG39,AM39,AS39,AY39,BE39,BK39,BQ39,BW39,CC39,CI39,CU39,DA39,DG39,DM39,DS39,EE39,EK39,CO39,DY39)/BULLETIN!$F$38*100</f>
        <v>0</v>
      </c>
      <c r="EW39" s="52" t="str">
        <f t="shared" si="4"/>
        <v>10e</v>
      </c>
      <c r="EX39" s="51">
        <f>SUM(P39,V39,AB39,AH39,AN39,AT39,AZ39,BF39,BL39,BR39,BX39,CD39,CJ39,CV39,DB39,DH39,DN39,DS39,EF39,EL39,CP39,DZ39)/BULLETIN!$G$38*100</f>
        <v>0</v>
      </c>
      <c r="EY39" s="52" t="str">
        <f t="shared" si="5"/>
        <v>10e</v>
      </c>
      <c r="EZ39" s="51">
        <f>SUM(Q39,W39,AC39,AI39,AO39,AU39,BA39,BG39,BM39,BS39,BY39,CE39,CK39,CW39,DC39,DI39,DO39,DU39,EG39,EM39,EA39,CQ39)/BULLETIN!$H$38*100</f>
        <v>0</v>
      </c>
      <c r="FA39" s="52" t="str">
        <f t="shared" si="6"/>
        <v>10e</v>
      </c>
      <c r="FB39" s="51">
        <f>SUM(O39:Q39,U39:W39,AA39:AC39,AG39:AI39,AM39:AO39,AS39:AU39,AY39:BA39,BE39:BG39,BK39:BM39,BQ39:BS39,BW39:BY39,CC39:CE39,CI39:CK39,CU39:CW39,DA39:DC39,DM39:DO39,DS39:DU39,EE39:EG39,EK39:EM39,DG39:DI39,CO39:CQ39,DY39:EA39)/BULLETIN!$I$38*100</f>
        <v>0</v>
      </c>
      <c r="FC39" s="52" t="str">
        <f t="shared" si="7"/>
        <v>10e</v>
      </c>
      <c r="FD39" s="51">
        <f>SUM(L39:EM39)/BULLETIN!$J$38*100</f>
        <v>0</v>
      </c>
      <c r="FE39" s="52" t="str">
        <f t="shared" si="8"/>
        <v>10e</v>
      </c>
    </row>
    <row r="40" spans="1:161" ht="15.5" x14ac:dyDescent="0.35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6"/>
      <c r="L40" s="8"/>
      <c r="M40" s="1"/>
      <c r="N40" s="1"/>
      <c r="O40" s="1"/>
      <c r="P40" s="1"/>
      <c r="Q40" s="9"/>
      <c r="R40" s="10"/>
      <c r="S40" s="1"/>
      <c r="T40" s="1"/>
      <c r="U40" s="1"/>
      <c r="V40" s="2"/>
      <c r="W40" s="18"/>
      <c r="X40" s="8"/>
      <c r="Y40" s="1"/>
      <c r="Z40" s="1"/>
      <c r="AA40" s="1"/>
      <c r="AB40" s="1"/>
      <c r="AC40" s="9"/>
      <c r="AD40" s="8"/>
      <c r="AE40" s="1"/>
      <c r="AF40" s="1"/>
      <c r="AG40" s="1"/>
      <c r="AH40" s="1"/>
      <c r="AI40" s="9"/>
      <c r="AJ40" s="10"/>
      <c r="AK40" s="1"/>
      <c r="AL40" s="1"/>
      <c r="AM40" s="1"/>
      <c r="AN40" s="2"/>
      <c r="AO40" s="18"/>
      <c r="AP40" s="8"/>
      <c r="AQ40" s="1"/>
      <c r="AR40" s="1"/>
      <c r="AS40" s="2"/>
      <c r="AT40" s="1"/>
      <c r="AU40" s="9"/>
      <c r="AV40" s="8"/>
      <c r="AW40" s="1"/>
      <c r="AX40" s="1"/>
      <c r="AY40" s="2"/>
      <c r="AZ40" s="1"/>
      <c r="BA40" s="9"/>
      <c r="BB40" s="10"/>
      <c r="BC40" s="1"/>
      <c r="BD40" s="1"/>
      <c r="BE40" s="1"/>
      <c r="BF40" s="2"/>
      <c r="BG40" s="1"/>
      <c r="BH40" s="10"/>
      <c r="BI40" s="1"/>
      <c r="BJ40" s="1"/>
      <c r="BK40" s="2"/>
      <c r="BL40" s="1"/>
      <c r="BM40" s="9"/>
      <c r="BN40" s="10"/>
      <c r="BO40" s="1"/>
      <c r="BP40" s="1"/>
      <c r="BQ40" s="1"/>
      <c r="BR40" s="2"/>
      <c r="BS40" s="18"/>
      <c r="BT40" s="8"/>
      <c r="BU40" s="1"/>
      <c r="BV40" s="1"/>
      <c r="BW40" s="2"/>
      <c r="BX40" s="1"/>
      <c r="BY40" s="9"/>
      <c r="BZ40" s="10"/>
      <c r="CA40" s="1"/>
      <c r="CB40" s="1"/>
      <c r="CC40" s="1"/>
      <c r="CD40" s="2"/>
      <c r="CE40" s="18"/>
      <c r="CF40" s="10"/>
      <c r="CG40" s="1"/>
      <c r="CH40" s="1"/>
      <c r="CI40" s="1"/>
      <c r="CJ40" s="2"/>
      <c r="CK40" s="18"/>
      <c r="CL40" s="10"/>
      <c r="CM40" s="1"/>
      <c r="CN40" s="1"/>
      <c r="CO40" s="1"/>
      <c r="CP40" s="2"/>
      <c r="CQ40" s="18"/>
      <c r="CR40" s="10"/>
      <c r="CS40" s="1"/>
      <c r="CT40" s="1"/>
      <c r="CU40" s="1"/>
      <c r="CV40" s="2"/>
      <c r="CW40" s="18"/>
      <c r="CX40" s="8"/>
      <c r="CY40" s="1"/>
      <c r="CZ40" s="1"/>
      <c r="DA40" s="1"/>
      <c r="DB40" s="2"/>
      <c r="DC40" s="18"/>
      <c r="DD40" s="8"/>
      <c r="DE40" s="1"/>
      <c r="DF40" s="1"/>
      <c r="DG40" s="1"/>
      <c r="DH40" s="1"/>
      <c r="DI40" s="2"/>
      <c r="DJ40" s="60"/>
      <c r="DK40" s="1"/>
      <c r="DL40" s="1"/>
      <c r="DM40" s="1"/>
      <c r="DN40" s="1"/>
      <c r="DO40" s="61"/>
      <c r="DP40" s="10"/>
      <c r="DQ40" s="1"/>
      <c r="DR40" s="1"/>
      <c r="DS40" s="1"/>
      <c r="DT40" s="1"/>
      <c r="DU40" s="61"/>
      <c r="DV40" s="60"/>
      <c r="DW40" s="1"/>
      <c r="DX40" s="1"/>
      <c r="DY40" s="1"/>
      <c r="DZ40" s="1"/>
      <c r="EA40" s="61"/>
      <c r="EB40" s="10"/>
      <c r="EC40" s="1"/>
      <c r="ED40" s="1"/>
      <c r="EE40" s="1"/>
      <c r="EF40" s="1"/>
      <c r="EG40" s="61"/>
      <c r="EH40" s="10"/>
      <c r="EI40" s="1"/>
      <c r="EJ40" s="1"/>
      <c r="EK40" s="1"/>
      <c r="EL40" s="2"/>
      <c r="EM40" s="1"/>
      <c r="EN40" s="51">
        <f>SUM(L40,R40,X40,AD40,AJ40,AP40,AV40,BB40,BH40,BN40,BT40,BZ40,CF40,CL40,CR40,CX40,DD40,DJ40,DP40,DV40,EB40,EH40)/BULLETIN!$B$38*100</f>
        <v>0</v>
      </c>
      <c r="EO40" s="52" t="str">
        <f t="shared" si="0"/>
        <v>10e</v>
      </c>
      <c r="EP40" s="51">
        <f>SUM(M40,S40,Y40,AE40,AK40,AQ40,AW40,BC40,BI40,BO40,BU40,CA40,CG40,CS40,CY40,DE40,DK40,DQ40,EC40,EI40,CM40,DW40)/BULLETIN!$C$38*100</f>
        <v>0</v>
      </c>
      <c r="EQ40" s="52" t="str">
        <f t="shared" si="1"/>
        <v>10e</v>
      </c>
      <c r="ER40" s="51">
        <f>SUM(N40,T40,Z40,AF40,AL40,AR40,AX40,BD40,BJ40,BP40,BV40,CB40,CH40,CT40,CZ40,DF40,DL40,DR40,ED40,EJ40,CN40,DX40)/BULLETIN!$D$38*100</f>
        <v>0</v>
      </c>
      <c r="ES40" s="52" t="str">
        <f t="shared" si="2"/>
        <v>10e</v>
      </c>
      <c r="ET40" s="51">
        <f>SUM(L40:N40,R40:T40,X40:Z40,AD40:AF40,AJ40:AL40,AP40:AR40,AV40:AX40,BB40:BD40,BH40:BJ40,BN40:BP40,BT40:BV40,BZ40:CB40,CF40:CH40,CR40:CT40,CX40:CZ40,DD40:DF40,DJ40:DL40,DP40:DR40,EB40:ED40,EH40:EJ40,CL40:CN40,DV40:DX40)/BULLETIN!$E$38*100</f>
        <v>0</v>
      </c>
      <c r="EU40" s="52" t="str">
        <f t="shared" si="3"/>
        <v>10e</v>
      </c>
      <c r="EV40" s="51">
        <f>SUM(O40,U40,AA40,AG40,AM40,AS40,AY40,BE40,BK40,BQ40,BW40,CC40,CI40,CU40,DA40,DG40,DM40,DS40,EE40,EK40,CO40,DY40)/BULLETIN!$F$38*100</f>
        <v>0</v>
      </c>
      <c r="EW40" s="52" t="str">
        <f t="shared" si="4"/>
        <v>10e</v>
      </c>
      <c r="EX40" s="51">
        <f>SUM(P40,V40,AB40,AH40,AN40,AT40,AZ40,BF40,BL40,BR40,BX40,CD40,CJ40,CV40,DB40,DH40,DN40,DS40,EF40,EL40,CP40,DZ40)/BULLETIN!$G$38*100</f>
        <v>0</v>
      </c>
      <c r="EY40" s="52" t="str">
        <f t="shared" si="5"/>
        <v>10e</v>
      </c>
      <c r="EZ40" s="51">
        <f>SUM(Q40,W40,AC40,AI40,AO40,AU40,BA40,BG40,BM40,BS40,BY40,CE40,CK40,CW40,DC40,DI40,DO40,DU40,EG40,EM40,EA40,CQ40)/BULLETIN!$H$38*100</f>
        <v>0</v>
      </c>
      <c r="FA40" s="52" t="str">
        <f t="shared" si="6"/>
        <v>10e</v>
      </c>
      <c r="FB40" s="51">
        <f>SUM(O40:Q40,U40:W40,AA40:AC40,AG40:AI40,AM40:AO40,AS40:AU40,AY40:BA40,BE40:BG40,BK40:BM40,BQ40:BS40,BW40:BY40,CC40:CE40,CI40:CK40,CU40:CW40,DA40:DC40,DM40:DO40,DS40:DU40,EE40:EG40,EK40:EM40,DG40:DI40,CO40:CQ40,DY40:EA40)/BULLETIN!$I$38*100</f>
        <v>0</v>
      </c>
      <c r="FC40" s="52" t="str">
        <f t="shared" si="7"/>
        <v>10e</v>
      </c>
      <c r="FD40" s="51">
        <f>SUM(L40:EM40)/BULLETIN!$J$38*100</f>
        <v>0</v>
      </c>
      <c r="FE40" s="52" t="str">
        <f t="shared" si="8"/>
        <v>10e</v>
      </c>
    </row>
    <row r="41" spans="1:161" ht="15.5" x14ac:dyDescent="0.35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6"/>
      <c r="L41" s="8"/>
      <c r="M41" s="1"/>
      <c r="N41" s="1"/>
      <c r="O41" s="1"/>
      <c r="P41" s="1"/>
      <c r="Q41" s="9"/>
      <c r="R41" s="10"/>
      <c r="S41" s="1"/>
      <c r="T41" s="1"/>
      <c r="U41" s="1"/>
      <c r="V41" s="2"/>
      <c r="W41" s="18"/>
      <c r="X41" s="8"/>
      <c r="Y41" s="1"/>
      <c r="Z41" s="1"/>
      <c r="AA41" s="1"/>
      <c r="AB41" s="1"/>
      <c r="AC41" s="9"/>
      <c r="AD41" s="8"/>
      <c r="AE41" s="1"/>
      <c r="AF41" s="1"/>
      <c r="AG41" s="1"/>
      <c r="AH41" s="1"/>
      <c r="AI41" s="9"/>
      <c r="AJ41" s="10"/>
      <c r="AK41" s="1"/>
      <c r="AL41" s="1"/>
      <c r="AM41" s="1"/>
      <c r="AN41" s="2"/>
      <c r="AO41" s="18"/>
      <c r="AP41" s="8"/>
      <c r="AQ41" s="1"/>
      <c r="AR41" s="1"/>
      <c r="AS41" s="2"/>
      <c r="AT41" s="1"/>
      <c r="AU41" s="9"/>
      <c r="AV41" s="8"/>
      <c r="AW41" s="1"/>
      <c r="AX41" s="1"/>
      <c r="AY41" s="2"/>
      <c r="AZ41" s="1"/>
      <c r="BA41" s="9"/>
      <c r="BB41" s="10"/>
      <c r="BC41" s="1"/>
      <c r="BD41" s="1"/>
      <c r="BE41" s="1"/>
      <c r="BF41" s="2"/>
      <c r="BG41" s="1"/>
      <c r="BH41" s="10"/>
      <c r="BI41" s="1"/>
      <c r="BJ41" s="1"/>
      <c r="BK41" s="2"/>
      <c r="BL41" s="1"/>
      <c r="BM41" s="9"/>
      <c r="BN41" s="10"/>
      <c r="BO41" s="1"/>
      <c r="BP41" s="1"/>
      <c r="BQ41" s="1"/>
      <c r="BR41" s="2"/>
      <c r="BS41" s="18"/>
      <c r="BT41" s="8"/>
      <c r="BU41" s="1"/>
      <c r="BV41" s="1"/>
      <c r="BW41" s="2"/>
      <c r="BX41" s="1"/>
      <c r="BY41" s="9"/>
      <c r="BZ41" s="10"/>
      <c r="CA41" s="1"/>
      <c r="CB41" s="1"/>
      <c r="CC41" s="1"/>
      <c r="CD41" s="2"/>
      <c r="CE41" s="18"/>
      <c r="CF41" s="10"/>
      <c r="CG41" s="1"/>
      <c r="CH41" s="1"/>
      <c r="CI41" s="1"/>
      <c r="CJ41" s="2"/>
      <c r="CK41" s="18"/>
      <c r="CL41" s="10"/>
      <c r="CM41" s="1"/>
      <c r="CN41" s="1"/>
      <c r="CO41" s="1"/>
      <c r="CP41" s="2"/>
      <c r="CQ41" s="18"/>
      <c r="CR41" s="10"/>
      <c r="CS41" s="1"/>
      <c r="CT41" s="1"/>
      <c r="CU41" s="1"/>
      <c r="CV41" s="2"/>
      <c r="CW41" s="18"/>
      <c r="CX41" s="8"/>
      <c r="CY41" s="1"/>
      <c r="CZ41" s="1"/>
      <c r="DA41" s="1"/>
      <c r="DB41" s="2"/>
      <c r="DC41" s="18"/>
      <c r="DD41" s="8"/>
      <c r="DE41" s="1"/>
      <c r="DF41" s="1"/>
      <c r="DG41" s="1"/>
      <c r="DH41" s="1"/>
      <c r="DI41" s="2"/>
      <c r="DJ41" s="60"/>
      <c r="DK41" s="1"/>
      <c r="DL41" s="1"/>
      <c r="DM41" s="1"/>
      <c r="DN41" s="1"/>
      <c r="DO41" s="61"/>
      <c r="DP41" s="10"/>
      <c r="DQ41" s="1"/>
      <c r="DR41" s="1"/>
      <c r="DS41" s="1"/>
      <c r="DT41" s="1"/>
      <c r="DU41" s="61"/>
      <c r="DV41" s="60"/>
      <c r="DW41" s="1"/>
      <c r="DX41" s="1"/>
      <c r="DY41" s="1"/>
      <c r="DZ41" s="1"/>
      <c r="EA41" s="61"/>
      <c r="EB41" s="10"/>
      <c r="EC41" s="1"/>
      <c r="ED41" s="1"/>
      <c r="EE41" s="1"/>
      <c r="EF41" s="1"/>
      <c r="EG41" s="61"/>
      <c r="EH41" s="10"/>
      <c r="EI41" s="1"/>
      <c r="EJ41" s="1"/>
      <c r="EK41" s="1"/>
      <c r="EL41" s="2"/>
      <c r="EM41" s="1"/>
      <c r="EN41" s="51">
        <f>SUM(L41,R41,X41,AD41,AJ41,AP41,AV41,BB41,BH41,BN41,BT41,BZ41,CF41,CL41,CR41,CX41,DD41,DJ41,DP41,DV41,EB41,EH41)/BULLETIN!$B$38*100</f>
        <v>0</v>
      </c>
      <c r="EO41" s="52" t="str">
        <f t="shared" si="0"/>
        <v>10e</v>
      </c>
      <c r="EP41" s="51">
        <f>SUM(M41,S41,Y41,AE41,AK41,AQ41,AW41,BC41,BI41,BO41,BU41,CA41,CG41,CS41,CY41,DE41,DK41,DQ41,EC41,EI41,CM41,DW41)/BULLETIN!$C$38*100</f>
        <v>0</v>
      </c>
      <c r="EQ41" s="52" t="str">
        <f t="shared" si="1"/>
        <v>10e</v>
      </c>
      <c r="ER41" s="51">
        <f>SUM(N41,T41,Z41,AF41,AL41,AR41,AX41,BD41,BJ41,BP41,BV41,CB41,CH41,CT41,CZ41,DF41,DL41,DR41,ED41,EJ41,CN41,DX41)/BULLETIN!$D$38*100</f>
        <v>0</v>
      </c>
      <c r="ES41" s="52" t="str">
        <f t="shared" si="2"/>
        <v>10e</v>
      </c>
      <c r="ET41" s="51">
        <f>SUM(L41:N41,R41:T41,X41:Z41,AD41:AF41,AJ41:AL41,AP41:AR41,AV41:AX41,BB41:BD41,BH41:BJ41,BN41:BP41,BT41:BV41,BZ41:CB41,CF41:CH41,CR41:CT41,CX41:CZ41,DD41:DF41,DJ41:DL41,DP41:DR41,EB41:ED41,EH41:EJ41,CL41:CN41,DV41:DX41)/BULLETIN!$E$38*100</f>
        <v>0</v>
      </c>
      <c r="EU41" s="52" t="str">
        <f t="shared" si="3"/>
        <v>10e</v>
      </c>
      <c r="EV41" s="51">
        <f>SUM(O41,U41,AA41,AG41,AM41,AS41,AY41,BE41,BK41,BQ41,BW41,CC41,CI41,CU41,DA41,DG41,DM41,DS41,EE41,EK41,CO41,DY41)/BULLETIN!$F$38*100</f>
        <v>0</v>
      </c>
      <c r="EW41" s="52" t="str">
        <f t="shared" si="4"/>
        <v>10e</v>
      </c>
      <c r="EX41" s="51">
        <f>SUM(P41,V41,AB41,AH41,AN41,AT41,AZ41,BF41,BL41,BR41,BX41,CD41,CJ41,CV41,DB41,DH41,DN41,DS41,EF41,EL41,CP41,DZ41)/BULLETIN!$G$38*100</f>
        <v>0</v>
      </c>
      <c r="EY41" s="52" t="str">
        <f t="shared" si="5"/>
        <v>10e</v>
      </c>
      <c r="EZ41" s="51">
        <f>SUM(Q41,W41,AC41,AI41,AO41,AU41,BA41,BG41,BM41,BS41,BY41,CE41,CK41,CW41,DC41,DI41,DO41,DU41,EG41,EM41,EA41,CQ41)/BULLETIN!$H$38*100</f>
        <v>0</v>
      </c>
      <c r="FA41" s="52" t="str">
        <f t="shared" si="6"/>
        <v>10e</v>
      </c>
      <c r="FB41" s="51">
        <f>SUM(O41:Q41,U41:W41,AA41:AC41,AG41:AI41,AM41:AO41,AS41:AU41,AY41:BA41,BE41:BG41,BK41:BM41,BQ41:BS41,BW41:BY41,CC41:CE41,CI41:CK41,CU41:CW41,DA41:DC41,DM41:DO41,DS41:DU41,EE41:EG41,EK41:EM41,DG41:DI41,CO41:CQ41,DY41:EA41)/BULLETIN!$I$38*100</f>
        <v>0</v>
      </c>
      <c r="FC41" s="52" t="str">
        <f t="shared" si="7"/>
        <v>10e</v>
      </c>
      <c r="FD41" s="51">
        <f>SUM(L41:EM41)/BULLETIN!$J$38*100</f>
        <v>0</v>
      </c>
      <c r="FE41" s="52" t="str">
        <f t="shared" si="8"/>
        <v>10e</v>
      </c>
    </row>
    <row r="42" spans="1:161" ht="15.5" x14ac:dyDescent="0.35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6"/>
      <c r="L42" s="8"/>
      <c r="M42" s="1"/>
      <c r="N42" s="1"/>
      <c r="O42" s="1"/>
      <c r="P42" s="1"/>
      <c r="Q42" s="9"/>
      <c r="R42" s="10"/>
      <c r="S42" s="1"/>
      <c r="T42" s="1"/>
      <c r="U42" s="1"/>
      <c r="V42" s="2"/>
      <c r="W42" s="18"/>
      <c r="X42" s="8"/>
      <c r="Y42" s="1"/>
      <c r="Z42" s="1"/>
      <c r="AA42" s="1"/>
      <c r="AB42" s="1"/>
      <c r="AC42" s="9"/>
      <c r="AD42" s="8"/>
      <c r="AE42" s="1"/>
      <c r="AF42" s="1"/>
      <c r="AG42" s="1"/>
      <c r="AH42" s="1"/>
      <c r="AI42" s="9"/>
      <c r="AJ42" s="10"/>
      <c r="AK42" s="1"/>
      <c r="AL42" s="1"/>
      <c r="AM42" s="1"/>
      <c r="AN42" s="2"/>
      <c r="AO42" s="18"/>
      <c r="AP42" s="8"/>
      <c r="AQ42" s="1"/>
      <c r="AR42" s="1"/>
      <c r="AS42" s="2"/>
      <c r="AT42" s="1"/>
      <c r="AU42" s="9"/>
      <c r="AV42" s="8"/>
      <c r="AW42" s="1"/>
      <c r="AX42" s="1"/>
      <c r="AY42" s="2"/>
      <c r="AZ42" s="1"/>
      <c r="BA42" s="9"/>
      <c r="BB42" s="10"/>
      <c r="BC42" s="1"/>
      <c r="BD42" s="1"/>
      <c r="BE42" s="1"/>
      <c r="BF42" s="2"/>
      <c r="BG42" s="1"/>
      <c r="BH42" s="10"/>
      <c r="BI42" s="1"/>
      <c r="BJ42" s="1"/>
      <c r="BK42" s="2"/>
      <c r="BL42" s="1"/>
      <c r="BM42" s="9"/>
      <c r="BN42" s="10"/>
      <c r="BO42" s="1"/>
      <c r="BP42" s="1"/>
      <c r="BQ42" s="1"/>
      <c r="BR42" s="2"/>
      <c r="BS42" s="18"/>
      <c r="BT42" s="8"/>
      <c r="BU42" s="1"/>
      <c r="BV42" s="1"/>
      <c r="BW42" s="2"/>
      <c r="BX42" s="1"/>
      <c r="BY42" s="9"/>
      <c r="BZ42" s="10"/>
      <c r="CA42" s="1"/>
      <c r="CB42" s="1"/>
      <c r="CC42" s="1"/>
      <c r="CD42" s="2"/>
      <c r="CE42" s="18"/>
      <c r="CF42" s="10"/>
      <c r="CG42" s="1"/>
      <c r="CH42" s="1"/>
      <c r="CI42" s="1"/>
      <c r="CJ42" s="2"/>
      <c r="CK42" s="18"/>
      <c r="CL42" s="10"/>
      <c r="CM42" s="1"/>
      <c r="CN42" s="1"/>
      <c r="CO42" s="1"/>
      <c r="CP42" s="2"/>
      <c r="CQ42" s="18"/>
      <c r="CR42" s="10"/>
      <c r="CS42" s="1"/>
      <c r="CT42" s="1"/>
      <c r="CU42" s="1"/>
      <c r="CV42" s="2"/>
      <c r="CW42" s="18"/>
      <c r="CX42" s="8"/>
      <c r="CY42" s="1"/>
      <c r="CZ42" s="1"/>
      <c r="DA42" s="1"/>
      <c r="DB42" s="2"/>
      <c r="DC42" s="18"/>
      <c r="DD42" s="8"/>
      <c r="DE42" s="1"/>
      <c r="DF42" s="1"/>
      <c r="DG42" s="1"/>
      <c r="DH42" s="1"/>
      <c r="DI42" s="2"/>
      <c r="DJ42" s="60"/>
      <c r="DK42" s="1"/>
      <c r="DL42" s="1"/>
      <c r="DM42" s="1"/>
      <c r="DN42" s="1"/>
      <c r="DO42" s="61"/>
      <c r="DP42" s="10"/>
      <c r="DQ42" s="1"/>
      <c r="DR42" s="1"/>
      <c r="DS42" s="1"/>
      <c r="DT42" s="1"/>
      <c r="DU42" s="61"/>
      <c r="DV42" s="60"/>
      <c r="DW42" s="1"/>
      <c r="DX42" s="1"/>
      <c r="DY42" s="1"/>
      <c r="DZ42" s="1"/>
      <c r="EA42" s="61"/>
      <c r="EB42" s="10"/>
      <c r="EC42" s="1"/>
      <c r="ED42" s="1"/>
      <c r="EE42" s="1"/>
      <c r="EF42" s="1"/>
      <c r="EG42" s="61"/>
      <c r="EH42" s="10"/>
      <c r="EI42" s="1"/>
      <c r="EJ42" s="1"/>
      <c r="EK42" s="1"/>
      <c r="EL42" s="2"/>
      <c r="EM42" s="1"/>
      <c r="EN42" s="51">
        <f>SUM(L42,R42,X42,AD42,AJ42,AP42,AV42,BB42,BH42,BN42,BT42,BZ42,CF42,CL42,CR42,CX42,DD42,DJ42,DP42,DV42,EB42,EH42)/BULLETIN!$B$38*100</f>
        <v>0</v>
      </c>
      <c r="EO42" s="52" t="str">
        <f t="shared" si="0"/>
        <v>10e</v>
      </c>
      <c r="EP42" s="51">
        <f>SUM(M42,S42,Y42,AE42,AK42,AQ42,AW42,BC42,BI42,BO42,BU42,CA42,CG42,CS42,CY42,DE42,DK42,DQ42,EC42,EI42,CM42,DW42)/BULLETIN!$C$38*100</f>
        <v>0</v>
      </c>
      <c r="EQ42" s="52" t="str">
        <f t="shared" si="1"/>
        <v>10e</v>
      </c>
      <c r="ER42" s="51">
        <f>SUM(N42,T42,Z42,AF42,AL42,AR42,AX42,BD42,BJ42,BP42,BV42,CB42,CH42,CT42,CZ42,DF42,DL42,DR42,ED42,EJ42,CN42,DX42)/BULLETIN!$D$38*100</f>
        <v>0</v>
      </c>
      <c r="ES42" s="52" t="str">
        <f t="shared" si="2"/>
        <v>10e</v>
      </c>
      <c r="ET42" s="51">
        <f>SUM(L42:N42,R42:T42,X42:Z42,AD42:AF42,AJ42:AL42,AP42:AR42,AV42:AX42,BB42:BD42,BH42:BJ42,BN42:BP42,BT42:BV42,BZ42:CB42,CF42:CH42,CR42:CT42,CX42:CZ42,DD42:DF42,DJ42:DL42,DP42:DR42,EB42:ED42,EH42:EJ42,CL42:CN42,DV42:DX42)/BULLETIN!$E$38*100</f>
        <v>0</v>
      </c>
      <c r="EU42" s="52" t="str">
        <f t="shared" si="3"/>
        <v>10e</v>
      </c>
      <c r="EV42" s="51">
        <f>SUM(O42,U42,AA42,AG42,AM42,AS42,AY42,BE42,BK42,BQ42,BW42,CC42,CI42,CU42,DA42,DG42,DM42,DS42,EE42,EK42,CO42,DY42)/BULLETIN!$F$38*100</f>
        <v>0</v>
      </c>
      <c r="EW42" s="52" t="str">
        <f t="shared" si="4"/>
        <v>10e</v>
      </c>
      <c r="EX42" s="51">
        <f>SUM(P42,V42,AB42,AH42,AN42,AT42,AZ42,BF42,BL42,BR42,BX42,CD42,CJ42,CV42,DB42,DH42,DN42,DS42,EF42,EL42,CP42,DZ42)/BULLETIN!$G$38*100</f>
        <v>0</v>
      </c>
      <c r="EY42" s="52" t="str">
        <f t="shared" si="5"/>
        <v>10e</v>
      </c>
      <c r="EZ42" s="51">
        <f>SUM(Q42,W42,AC42,AI42,AO42,AU42,BA42,BG42,BM42,BS42,BY42,CE42,CK42,CW42,DC42,DI42,DO42,DU42,EG42,EM42,EA42,CQ42)/BULLETIN!$H$38*100</f>
        <v>0</v>
      </c>
      <c r="FA42" s="52" t="str">
        <f t="shared" si="6"/>
        <v>10e</v>
      </c>
      <c r="FB42" s="51">
        <f>SUM(O42:Q42,U42:W42,AA42:AC42,AG42:AI42,AM42:AO42,AS42:AU42,AY42:BA42,BE42:BG42,BK42:BM42,BQ42:BS42,BW42:BY42,CC42:CE42,CI42:CK42,CU42:CW42,DA42:DC42,DM42:DO42,DS42:DU42,EE42:EG42,EK42:EM42,DG42:DI42,CO42:CQ42,DY42:EA42)/BULLETIN!$I$38*100</f>
        <v>0</v>
      </c>
      <c r="FC42" s="52" t="str">
        <f t="shared" si="7"/>
        <v>10e</v>
      </c>
      <c r="FD42" s="51">
        <f>SUM(L42:EM42)/BULLETIN!$J$38*100</f>
        <v>0</v>
      </c>
      <c r="FE42" s="52" t="str">
        <f t="shared" si="8"/>
        <v>10e</v>
      </c>
    </row>
    <row r="43" spans="1:161" ht="15.5" x14ac:dyDescent="0.35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6"/>
      <c r="L43" s="8"/>
      <c r="M43" s="1"/>
      <c r="N43" s="1"/>
      <c r="O43" s="1"/>
      <c r="P43" s="1"/>
      <c r="Q43" s="9"/>
      <c r="R43" s="10"/>
      <c r="S43" s="1"/>
      <c r="T43" s="1"/>
      <c r="U43" s="1"/>
      <c r="V43" s="2"/>
      <c r="W43" s="18"/>
      <c r="X43" s="8"/>
      <c r="Y43" s="1"/>
      <c r="Z43" s="1"/>
      <c r="AA43" s="1"/>
      <c r="AB43" s="1"/>
      <c r="AC43" s="9"/>
      <c r="AD43" s="8"/>
      <c r="AE43" s="1"/>
      <c r="AF43" s="1"/>
      <c r="AG43" s="1"/>
      <c r="AH43" s="1"/>
      <c r="AI43" s="9"/>
      <c r="AJ43" s="10"/>
      <c r="AK43" s="1"/>
      <c r="AL43" s="1"/>
      <c r="AM43" s="1"/>
      <c r="AN43" s="2"/>
      <c r="AO43" s="18"/>
      <c r="AP43" s="8"/>
      <c r="AQ43" s="1"/>
      <c r="AR43" s="1"/>
      <c r="AS43" s="2"/>
      <c r="AT43" s="1"/>
      <c r="AU43" s="9"/>
      <c r="AV43" s="8"/>
      <c r="AW43" s="1"/>
      <c r="AX43" s="1"/>
      <c r="AY43" s="2"/>
      <c r="AZ43" s="1"/>
      <c r="BA43" s="9"/>
      <c r="BB43" s="10"/>
      <c r="BC43" s="1"/>
      <c r="BD43" s="1"/>
      <c r="BE43" s="1"/>
      <c r="BF43" s="2"/>
      <c r="BG43" s="1"/>
      <c r="BH43" s="10"/>
      <c r="BI43" s="1"/>
      <c r="BJ43" s="1"/>
      <c r="BK43" s="2"/>
      <c r="BL43" s="1"/>
      <c r="BM43" s="9"/>
      <c r="BN43" s="10"/>
      <c r="BO43" s="1"/>
      <c r="BP43" s="1"/>
      <c r="BQ43" s="1"/>
      <c r="BR43" s="2"/>
      <c r="BS43" s="18"/>
      <c r="BT43" s="8"/>
      <c r="BU43" s="1"/>
      <c r="BV43" s="1"/>
      <c r="BW43" s="2"/>
      <c r="BX43" s="1"/>
      <c r="BY43" s="9"/>
      <c r="BZ43" s="10"/>
      <c r="CA43" s="1"/>
      <c r="CB43" s="1"/>
      <c r="CC43" s="1"/>
      <c r="CD43" s="2"/>
      <c r="CE43" s="18"/>
      <c r="CF43" s="10"/>
      <c r="CG43" s="1"/>
      <c r="CH43" s="1"/>
      <c r="CI43" s="1"/>
      <c r="CJ43" s="2"/>
      <c r="CK43" s="18"/>
      <c r="CL43" s="10"/>
      <c r="CM43" s="1"/>
      <c r="CN43" s="1"/>
      <c r="CO43" s="1"/>
      <c r="CP43" s="2"/>
      <c r="CQ43" s="18"/>
      <c r="CR43" s="10"/>
      <c r="CS43" s="1"/>
      <c r="CT43" s="1"/>
      <c r="CU43" s="1"/>
      <c r="CV43" s="2"/>
      <c r="CW43" s="18"/>
      <c r="CX43" s="8"/>
      <c r="CY43" s="1"/>
      <c r="CZ43" s="1"/>
      <c r="DA43" s="1"/>
      <c r="DB43" s="2"/>
      <c r="DC43" s="18"/>
      <c r="DD43" s="8"/>
      <c r="DE43" s="1"/>
      <c r="DF43" s="1"/>
      <c r="DG43" s="1"/>
      <c r="DH43" s="1"/>
      <c r="DI43" s="2"/>
      <c r="DJ43" s="60"/>
      <c r="DK43" s="1"/>
      <c r="DL43" s="1"/>
      <c r="DM43" s="1"/>
      <c r="DN43" s="1"/>
      <c r="DO43" s="61"/>
      <c r="DP43" s="10"/>
      <c r="DQ43" s="1"/>
      <c r="DR43" s="1"/>
      <c r="DS43" s="1"/>
      <c r="DT43" s="1"/>
      <c r="DU43" s="61"/>
      <c r="DV43" s="60"/>
      <c r="DW43" s="1"/>
      <c r="DX43" s="1"/>
      <c r="DY43" s="1"/>
      <c r="DZ43" s="1"/>
      <c r="EA43" s="61"/>
      <c r="EB43" s="10"/>
      <c r="EC43" s="1"/>
      <c r="ED43" s="1"/>
      <c r="EE43" s="1"/>
      <c r="EF43" s="1"/>
      <c r="EG43" s="61"/>
      <c r="EH43" s="10"/>
      <c r="EI43" s="1"/>
      <c r="EJ43" s="1"/>
      <c r="EK43" s="1"/>
      <c r="EL43" s="2"/>
      <c r="EM43" s="1"/>
      <c r="EN43" s="51">
        <f>SUM(L43,R43,X43,AD43,AJ43,AP43,AV43,BB43,BH43,BN43,BT43,BZ43,CF43,CL43,CR43,CX43,DD43,DJ43,DP43,DV43,EB43,EH43)/BULLETIN!$B$38*100</f>
        <v>0</v>
      </c>
      <c r="EO43" s="52" t="str">
        <f t="shared" si="0"/>
        <v>10e</v>
      </c>
      <c r="EP43" s="51">
        <f>SUM(M43,S43,Y43,AE43,AK43,AQ43,AW43,BC43,BI43,BO43,BU43,CA43,CG43,CS43,CY43,DE43,DK43,DQ43,EC43,EI43,CM43,DW43)/BULLETIN!$C$38*100</f>
        <v>0</v>
      </c>
      <c r="EQ43" s="52" t="str">
        <f t="shared" si="1"/>
        <v>10e</v>
      </c>
      <c r="ER43" s="51">
        <f>SUM(N43,T43,Z43,AF43,AL43,AR43,AX43,BD43,BJ43,BP43,BV43,CB43,CH43,CT43,CZ43,DF43,DL43,DR43,ED43,EJ43,CN43,DX43)/BULLETIN!$D$38*100</f>
        <v>0</v>
      </c>
      <c r="ES43" s="52" t="str">
        <f t="shared" si="2"/>
        <v>10e</v>
      </c>
      <c r="ET43" s="51">
        <f>SUM(L43:N43,R43:T43,X43:Z43,AD43:AF43,AJ43:AL43,AP43:AR43,AV43:AX43,BB43:BD43,BH43:BJ43,BN43:BP43,BT43:BV43,BZ43:CB43,CF43:CH43,CR43:CT43,CX43:CZ43,DD43:DF43,DJ43:DL43,DP43:DR43,EB43:ED43,EH43:EJ43,CL43:CN43,DV43:DX43)/BULLETIN!$E$38*100</f>
        <v>0</v>
      </c>
      <c r="EU43" s="52" t="str">
        <f t="shared" si="3"/>
        <v>10e</v>
      </c>
      <c r="EV43" s="51">
        <f>SUM(O43,U43,AA43,AG43,AM43,AS43,AY43,BE43,BK43,BQ43,BW43,CC43,CI43,CU43,DA43,DG43,DM43,DS43,EE43,EK43,CO43,DY43)/BULLETIN!$F$38*100</f>
        <v>0</v>
      </c>
      <c r="EW43" s="52" t="str">
        <f t="shared" si="4"/>
        <v>10e</v>
      </c>
      <c r="EX43" s="51">
        <f>SUM(P43,V43,AB43,AH43,AN43,AT43,AZ43,BF43,BL43,BR43,BX43,CD43,CJ43,CV43,DB43,DH43,DN43,DS43,EF43,EL43,CP43,DZ43)/BULLETIN!$G$38*100</f>
        <v>0</v>
      </c>
      <c r="EY43" s="52" t="str">
        <f t="shared" si="5"/>
        <v>10e</v>
      </c>
      <c r="EZ43" s="51">
        <f>SUM(Q43,W43,AC43,AI43,AO43,AU43,BA43,BG43,BM43,BS43,BY43,CE43,CK43,CW43,DC43,DI43,DO43,DU43,EG43,EM43,EA43,CQ43)/BULLETIN!$H$38*100</f>
        <v>0</v>
      </c>
      <c r="FA43" s="52" t="str">
        <f t="shared" si="6"/>
        <v>10e</v>
      </c>
      <c r="FB43" s="51">
        <f>SUM(O43:Q43,U43:W43,AA43:AC43,AG43:AI43,AM43:AO43,AS43:AU43,AY43:BA43,BE43:BG43,BK43:BM43,BQ43:BS43,BW43:BY43,CC43:CE43,CI43:CK43,CU43:CW43,DA43:DC43,DM43:DO43,DS43:DU43,EE43:EG43,EK43:EM43,DG43:DI43,CO43:CQ43,DY43:EA43)/BULLETIN!$I$38*100</f>
        <v>0</v>
      </c>
      <c r="FC43" s="52" t="str">
        <f t="shared" si="7"/>
        <v>10e</v>
      </c>
      <c r="FD43" s="51">
        <f>SUM(L43:EM43)/BULLETIN!$J$38*100</f>
        <v>0</v>
      </c>
      <c r="FE43" s="52" t="str">
        <f t="shared" si="8"/>
        <v>10e</v>
      </c>
    </row>
    <row r="44" spans="1:161" ht="15.5" x14ac:dyDescent="0.35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6"/>
      <c r="L44" s="8"/>
      <c r="M44" s="1"/>
      <c r="N44" s="1"/>
      <c r="O44" s="1"/>
      <c r="P44" s="1"/>
      <c r="Q44" s="9"/>
      <c r="R44" s="10"/>
      <c r="S44" s="1"/>
      <c r="T44" s="1"/>
      <c r="U44" s="1"/>
      <c r="V44" s="2"/>
      <c r="W44" s="18"/>
      <c r="X44" s="8"/>
      <c r="Y44" s="1"/>
      <c r="Z44" s="1"/>
      <c r="AA44" s="1"/>
      <c r="AB44" s="1"/>
      <c r="AC44" s="9"/>
      <c r="AD44" s="8"/>
      <c r="AE44" s="1"/>
      <c r="AF44" s="1"/>
      <c r="AG44" s="1"/>
      <c r="AH44" s="1"/>
      <c r="AI44" s="9"/>
      <c r="AJ44" s="10"/>
      <c r="AK44" s="1"/>
      <c r="AL44" s="1"/>
      <c r="AM44" s="1"/>
      <c r="AN44" s="2"/>
      <c r="AO44" s="18"/>
      <c r="AP44" s="8"/>
      <c r="AQ44" s="1"/>
      <c r="AR44" s="1"/>
      <c r="AS44" s="2"/>
      <c r="AT44" s="1"/>
      <c r="AU44" s="9"/>
      <c r="AV44" s="8"/>
      <c r="AW44" s="1"/>
      <c r="AX44" s="1"/>
      <c r="AY44" s="2"/>
      <c r="AZ44" s="1"/>
      <c r="BA44" s="9"/>
      <c r="BB44" s="10"/>
      <c r="BC44" s="1"/>
      <c r="BD44" s="1"/>
      <c r="BE44" s="1"/>
      <c r="BF44" s="2"/>
      <c r="BG44" s="1"/>
      <c r="BH44" s="10"/>
      <c r="BI44" s="1"/>
      <c r="BJ44" s="1"/>
      <c r="BK44" s="2"/>
      <c r="BL44" s="1"/>
      <c r="BM44" s="9"/>
      <c r="BN44" s="10"/>
      <c r="BO44" s="1"/>
      <c r="BP44" s="1"/>
      <c r="BQ44" s="1"/>
      <c r="BR44" s="2"/>
      <c r="BS44" s="18"/>
      <c r="BT44" s="8"/>
      <c r="BU44" s="1"/>
      <c r="BV44" s="1"/>
      <c r="BW44" s="2"/>
      <c r="BX44" s="1"/>
      <c r="BY44" s="9"/>
      <c r="BZ44" s="10"/>
      <c r="CA44" s="1"/>
      <c r="CB44" s="1"/>
      <c r="CC44" s="1"/>
      <c r="CD44" s="2"/>
      <c r="CE44" s="18"/>
      <c r="CF44" s="10"/>
      <c r="CG44" s="1"/>
      <c r="CH44" s="1"/>
      <c r="CI44" s="1"/>
      <c r="CJ44" s="2"/>
      <c r="CK44" s="18"/>
      <c r="CL44" s="10"/>
      <c r="CM44" s="1"/>
      <c r="CN44" s="1"/>
      <c r="CO44" s="1"/>
      <c r="CP44" s="2"/>
      <c r="CQ44" s="18"/>
      <c r="CR44" s="10"/>
      <c r="CS44" s="1"/>
      <c r="CT44" s="1"/>
      <c r="CU44" s="1"/>
      <c r="CV44" s="2"/>
      <c r="CW44" s="18"/>
      <c r="CX44" s="8"/>
      <c r="CY44" s="1"/>
      <c r="CZ44" s="1"/>
      <c r="DA44" s="1"/>
      <c r="DB44" s="2"/>
      <c r="DC44" s="18"/>
      <c r="DD44" s="8"/>
      <c r="DE44" s="1"/>
      <c r="DF44" s="1"/>
      <c r="DG44" s="1"/>
      <c r="DH44" s="1"/>
      <c r="DI44" s="2"/>
      <c r="DJ44" s="60"/>
      <c r="DK44" s="1"/>
      <c r="DL44" s="1"/>
      <c r="DM44" s="1"/>
      <c r="DN44" s="1"/>
      <c r="DO44" s="61"/>
      <c r="DP44" s="10"/>
      <c r="DQ44" s="1"/>
      <c r="DR44" s="1"/>
      <c r="DS44" s="1"/>
      <c r="DT44" s="1"/>
      <c r="DU44" s="61"/>
      <c r="DV44" s="60"/>
      <c r="DW44" s="1"/>
      <c r="DX44" s="1"/>
      <c r="DY44" s="1"/>
      <c r="DZ44" s="1"/>
      <c r="EA44" s="61"/>
      <c r="EB44" s="10"/>
      <c r="EC44" s="1"/>
      <c r="ED44" s="1"/>
      <c r="EE44" s="1"/>
      <c r="EF44" s="1"/>
      <c r="EG44" s="61"/>
      <c r="EH44" s="10"/>
      <c r="EI44" s="1"/>
      <c r="EJ44" s="1"/>
      <c r="EK44" s="1"/>
      <c r="EL44" s="2"/>
      <c r="EM44" s="1"/>
      <c r="EN44" s="51">
        <f>SUM(L44,R44,X44,AD44,AJ44,AP44,AV44,BB44,BH44,BN44,BT44,BZ44,CF44,CL44,CR44,CX44,DD44,DJ44,DP44,DV44,EB44,EH44)/BULLETIN!$B$38*100</f>
        <v>0</v>
      </c>
      <c r="EO44" s="52" t="str">
        <f t="shared" si="0"/>
        <v>10e</v>
      </c>
      <c r="EP44" s="51">
        <f>SUM(M44,S44,Y44,AE44,AK44,AQ44,AW44,BC44,BI44,BO44,BU44,CA44,CG44,CS44,CY44,DE44,DK44,DQ44,EC44,EI44,CM44,DW44)/BULLETIN!$C$38*100</f>
        <v>0</v>
      </c>
      <c r="EQ44" s="52" t="str">
        <f t="shared" si="1"/>
        <v>10e</v>
      </c>
      <c r="ER44" s="51">
        <f>SUM(N44,T44,Z44,AF44,AL44,AR44,AX44,BD44,BJ44,BP44,BV44,CB44,CH44,CT44,CZ44,DF44,DL44,DR44,ED44,EJ44,CN44,DX44)/BULLETIN!$D$38*100</f>
        <v>0</v>
      </c>
      <c r="ES44" s="52" t="str">
        <f t="shared" si="2"/>
        <v>10e</v>
      </c>
      <c r="ET44" s="51">
        <f>SUM(L44:N44,R44:T44,X44:Z44,AD44:AF44,AJ44:AL44,AP44:AR44,AV44:AX44,BB44:BD44,BH44:BJ44,BN44:BP44,BT44:BV44,BZ44:CB44,CF44:CH44,CR44:CT44,CX44:CZ44,DD44:DF44,DJ44:DL44,DP44:DR44,EB44:ED44,EH44:EJ44,CL44:CN44,DV44:DX44)/BULLETIN!$E$38*100</f>
        <v>0</v>
      </c>
      <c r="EU44" s="52" t="str">
        <f t="shared" si="3"/>
        <v>10e</v>
      </c>
      <c r="EV44" s="51">
        <f>SUM(O44,U44,AA44,AG44,AM44,AS44,AY44,BE44,BK44,BQ44,BW44,CC44,CI44,CU44,DA44,DG44,DM44,DS44,EE44,EK44,CO44,DY44)/BULLETIN!$F$38*100</f>
        <v>0</v>
      </c>
      <c r="EW44" s="52" t="str">
        <f t="shared" si="4"/>
        <v>10e</v>
      </c>
      <c r="EX44" s="51">
        <f>SUM(P44,V44,AB44,AH44,AN44,AT44,AZ44,BF44,BL44,BR44,BX44,CD44,CJ44,CV44,DB44,DH44,DN44,DS44,EF44,EL44,CP44,DZ44)/BULLETIN!$G$38*100</f>
        <v>0</v>
      </c>
      <c r="EY44" s="52" t="str">
        <f t="shared" si="5"/>
        <v>10e</v>
      </c>
      <c r="EZ44" s="51">
        <f>SUM(Q44,W44,AC44,AI44,AO44,AU44,BA44,BG44,BM44,BS44,BY44,CE44,CK44,CW44,DC44,DI44,DO44,DU44,EG44,EM44,EA44,CQ44)/BULLETIN!$H$38*100</f>
        <v>0</v>
      </c>
      <c r="FA44" s="52" t="str">
        <f t="shared" si="6"/>
        <v>10e</v>
      </c>
      <c r="FB44" s="51">
        <f>SUM(O44:Q44,U44:W44,AA44:AC44,AG44:AI44,AM44:AO44,AS44:AU44,AY44:BA44,BE44:BG44,BK44:BM44,BQ44:BS44,BW44:BY44,CC44:CE44,CI44:CK44,CU44:CW44,DA44:DC44,DM44:DO44,DS44:DU44,EE44:EG44,EK44:EM44,DG44:DI44,CO44:CQ44,DY44:EA44)/BULLETIN!$I$38*100</f>
        <v>0</v>
      </c>
      <c r="FC44" s="52" t="str">
        <f t="shared" si="7"/>
        <v>10e</v>
      </c>
      <c r="FD44" s="51">
        <f>SUM(L44:EM44)/BULLETIN!$J$38*100</f>
        <v>0</v>
      </c>
      <c r="FE44" s="52" t="str">
        <f t="shared" si="8"/>
        <v>10e</v>
      </c>
    </row>
    <row r="45" spans="1:161" ht="15.5" x14ac:dyDescent="0.3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6"/>
      <c r="L45" s="8"/>
      <c r="M45" s="1"/>
      <c r="N45" s="1"/>
      <c r="O45" s="1"/>
      <c r="P45" s="1"/>
      <c r="Q45" s="9"/>
      <c r="R45" s="10"/>
      <c r="S45" s="1"/>
      <c r="T45" s="1"/>
      <c r="U45" s="1"/>
      <c r="V45" s="2"/>
      <c r="W45" s="18"/>
      <c r="X45" s="8"/>
      <c r="Y45" s="1"/>
      <c r="Z45" s="1"/>
      <c r="AA45" s="1"/>
      <c r="AB45" s="1"/>
      <c r="AC45" s="9"/>
      <c r="AD45" s="8"/>
      <c r="AE45" s="1"/>
      <c r="AF45" s="1"/>
      <c r="AG45" s="1"/>
      <c r="AH45" s="1"/>
      <c r="AI45" s="9"/>
      <c r="AJ45" s="10"/>
      <c r="AK45" s="1"/>
      <c r="AL45" s="1"/>
      <c r="AM45" s="1"/>
      <c r="AN45" s="2"/>
      <c r="AO45" s="18"/>
      <c r="AP45" s="8"/>
      <c r="AQ45" s="1"/>
      <c r="AR45" s="1"/>
      <c r="AS45" s="2"/>
      <c r="AT45" s="1"/>
      <c r="AU45" s="9"/>
      <c r="AV45" s="8"/>
      <c r="AW45" s="1"/>
      <c r="AX45" s="1"/>
      <c r="AY45" s="2"/>
      <c r="AZ45" s="1"/>
      <c r="BA45" s="9"/>
      <c r="BB45" s="10"/>
      <c r="BC45" s="1"/>
      <c r="BD45" s="1"/>
      <c r="BE45" s="1"/>
      <c r="BF45" s="2"/>
      <c r="BG45" s="1"/>
      <c r="BH45" s="10"/>
      <c r="BI45" s="1"/>
      <c r="BJ45" s="1"/>
      <c r="BK45" s="2"/>
      <c r="BL45" s="1"/>
      <c r="BM45" s="9"/>
      <c r="BN45" s="10"/>
      <c r="BO45" s="1"/>
      <c r="BP45" s="1"/>
      <c r="BQ45" s="1"/>
      <c r="BR45" s="2"/>
      <c r="BS45" s="18"/>
      <c r="BT45" s="8"/>
      <c r="BU45" s="1"/>
      <c r="BV45" s="1"/>
      <c r="BW45" s="2"/>
      <c r="BX45" s="1"/>
      <c r="BY45" s="9"/>
      <c r="BZ45" s="10"/>
      <c r="CA45" s="1"/>
      <c r="CB45" s="1"/>
      <c r="CC45" s="1"/>
      <c r="CD45" s="2"/>
      <c r="CE45" s="18"/>
      <c r="CF45" s="10"/>
      <c r="CG45" s="1"/>
      <c r="CH45" s="1"/>
      <c r="CI45" s="1"/>
      <c r="CJ45" s="2"/>
      <c r="CK45" s="18"/>
      <c r="CL45" s="10"/>
      <c r="CM45" s="1"/>
      <c r="CN45" s="1"/>
      <c r="CO45" s="1"/>
      <c r="CP45" s="2"/>
      <c r="CQ45" s="18"/>
      <c r="CR45" s="10"/>
      <c r="CS45" s="1"/>
      <c r="CT45" s="1"/>
      <c r="CU45" s="1"/>
      <c r="CV45" s="2"/>
      <c r="CW45" s="18"/>
      <c r="CX45" s="8"/>
      <c r="CY45" s="1"/>
      <c r="CZ45" s="1"/>
      <c r="DA45" s="1"/>
      <c r="DB45" s="2"/>
      <c r="DC45" s="18"/>
      <c r="DD45" s="8"/>
      <c r="DE45" s="1"/>
      <c r="DF45" s="1"/>
      <c r="DG45" s="1"/>
      <c r="DH45" s="1"/>
      <c r="DI45" s="2"/>
      <c r="DJ45" s="60"/>
      <c r="DK45" s="1"/>
      <c r="DL45" s="1"/>
      <c r="DM45" s="1"/>
      <c r="DN45" s="1"/>
      <c r="DO45" s="61"/>
      <c r="DP45" s="10"/>
      <c r="DQ45" s="1"/>
      <c r="DR45" s="1"/>
      <c r="DS45" s="1"/>
      <c r="DT45" s="1"/>
      <c r="DU45" s="61"/>
      <c r="DV45" s="60"/>
      <c r="DW45" s="1"/>
      <c r="DX45" s="1"/>
      <c r="DY45" s="1"/>
      <c r="DZ45" s="1"/>
      <c r="EA45" s="61"/>
      <c r="EB45" s="10"/>
      <c r="EC45" s="1"/>
      <c r="ED45" s="1"/>
      <c r="EE45" s="1"/>
      <c r="EF45" s="1"/>
      <c r="EG45" s="61"/>
      <c r="EH45" s="10"/>
      <c r="EI45" s="1"/>
      <c r="EJ45" s="1"/>
      <c r="EK45" s="1"/>
      <c r="EL45" s="2"/>
      <c r="EM45" s="1"/>
      <c r="EN45" s="51">
        <f>SUM(L45,R45,X45,AD45,AJ45,AP45,AV45,BB45,BH45,BN45,BT45,BZ45,CF45,CL45,CR45,CX45,DD45,DJ45,DP45,DV45,EB45,EH45)/BULLETIN!$B$38*100</f>
        <v>0</v>
      </c>
      <c r="EO45" s="52" t="str">
        <f t="shared" si="0"/>
        <v>10e</v>
      </c>
      <c r="EP45" s="51">
        <f>SUM(M45,S45,Y45,AE45,AK45,AQ45,AW45,BC45,BI45,BO45,BU45,CA45,CG45,CS45,CY45,DE45,DK45,DQ45,EC45,EI45,CM45,DW45)/BULLETIN!$C$38*100</f>
        <v>0</v>
      </c>
      <c r="EQ45" s="52" t="str">
        <f t="shared" si="1"/>
        <v>10e</v>
      </c>
      <c r="ER45" s="51">
        <f>SUM(N45,T45,Z45,AF45,AL45,AR45,AX45,BD45,BJ45,BP45,BV45,CB45,CH45,CT45,CZ45,DF45,DL45,DR45,ED45,EJ45,CN45,DX45)/BULLETIN!$D$38*100</f>
        <v>0</v>
      </c>
      <c r="ES45" s="52" t="str">
        <f t="shared" si="2"/>
        <v>10e</v>
      </c>
      <c r="ET45" s="51">
        <f>SUM(L45:N45,R45:T45,X45:Z45,AD45:AF45,AJ45:AL45,AP45:AR45,AV45:AX45,BB45:BD45,BH45:BJ45,BN45:BP45,BT45:BV45,BZ45:CB45,CF45:CH45,CR45:CT45,CX45:CZ45,DD45:DF45,DJ45:DL45,DP45:DR45,EB45:ED45,EH45:EJ45,CL45:CN45,DV45:DX45)/BULLETIN!$E$38*100</f>
        <v>0</v>
      </c>
      <c r="EU45" s="52" t="str">
        <f t="shared" si="3"/>
        <v>10e</v>
      </c>
      <c r="EV45" s="51">
        <f>SUM(O45,U45,AA45,AG45,AM45,AS45,AY45,BE45,BK45,BQ45,BW45,CC45,CI45,CU45,DA45,DG45,DM45,DS45,EE45,EK45,CO45,DY45)/BULLETIN!$F$38*100</f>
        <v>0</v>
      </c>
      <c r="EW45" s="52" t="str">
        <f t="shared" si="4"/>
        <v>10e</v>
      </c>
      <c r="EX45" s="51">
        <f>SUM(P45,V45,AB45,AH45,AN45,AT45,AZ45,BF45,BL45,BR45,BX45,CD45,CJ45,CV45,DB45,DH45,DN45,DS45,EF45,EL45,CP45,DZ45)/BULLETIN!$G$38*100</f>
        <v>0</v>
      </c>
      <c r="EY45" s="52" t="str">
        <f t="shared" si="5"/>
        <v>10e</v>
      </c>
      <c r="EZ45" s="51">
        <f>SUM(Q45,W45,AC45,AI45,AO45,AU45,BA45,BG45,BM45,BS45,BY45,CE45,CK45,CW45,DC45,DI45,DO45,DU45,EG45,EM45,EA45,CQ45)/BULLETIN!$H$38*100</f>
        <v>0</v>
      </c>
      <c r="FA45" s="52" t="str">
        <f t="shared" si="6"/>
        <v>10e</v>
      </c>
      <c r="FB45" s="51">
        <f>SUM(O45:Q45,U45:W45,AA45:AC45,AG45:AI45,AM45:AO45,AS45:AU45,AY45:BA45,BE45:BG45,BK45:BM45,BQ45:BS45,BW45:BY45,CC45:CE45,CI45:CK45,CU45:CW45,DA45:DC45,DM45:DO45,DS45:DU45,EE45:EG45,EK45:EM45,DG45:DI45,CO45:CQ45,DY45:EA45)/BULLETIN!$I$38*100</f>
        <v>0</v>
      </c>
      <c r="FC45" s="52" t="str">
        <f t="shared" si="7"/>
        <v>10e</v>
      </c>
      <c r="FD45" s="51">
        <f>SUM(L45:EM45)/BULLETIN!$J$38*100</f>
        <v>0</v>
      </c>
      <c r="FE45" s="52" t="str">
        <f t="shared" si="8"/>
        <v>10e</v>
      </c>
    </row>
    <row r="46" spans="1:161" ht="15.5" x14ac:dyDescent="0.35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6"/>
      <c r="L46" s="8"/>
      <c r="M46" s="1"/>
      <c r="N46" s="1"/>
      <c r="O46" s="1"/>
      <c r="P46" s="1"/>
      <c r="Q46" s="9"/>
      <c r="R46" s="10"/>
      <c r="S46" s="1"/>
      <c r="T46" s="1"/>
      <c r="U46" s="1"/>
      <c r="V46" s="2"/>
      <c r="W46" s="18"/>
      <c r="X46" s="8"/>
      <c r="Y46" s="1"/>
      <c r="Z46" s="1"/>
      <c r="AA46" s="1"/>
      <c r="AB46" s="1"/>
      <c r="AC46" s="9"/>
      <c r="AD46" s="8"/>
      <c r="AE46" s="1"/>
      <c r="AF46" s="1"/>
      <c r="AG46" s="1"/>
      <c r="AH46" s="1"/>
      <c r="AI46" s="9"/>
      <c r="AJ46" s="10"/>
      <c r="AK46" s="1"/>
      <c r="AL46" s="1"/>
      <c r="AM46" s="1"/>
      <c r="AN46" s="2"/>
      <c r="AO46" s="18"/>
      <c r="AP46" s="8"/>
      <c r="AQ46" s="1"/>
      <c r="AR46" s="1"/>
      <c r="AS46" s="2"/>
      <c r="AT46" s="1"/>
      <c r="AU46" s="9"/>
      <c r="AV46" s="8"/>
      <c r="AW46" s="1"/>
      <c r="AX46" s="1"/>
      <c r="AY46" s="2"/>
      <c r="AZ46" s="1"/>
      <c r="BA46" s="9"/>
      <c r="BB46" s="10"/>
      <c r="BC46" s="1"/>
      <c r="BD46" s="1"/>
      <c r="BE46" s="1"/>
      <c r="BF46" s="2"/>
      <c r="BG46" s="1"/>
      <c r="BH46" s="10"/>
      <c r="BI46" s="1"/>
      <c r="BJ46" s="1"/>
      <c r="BK46" s="2"/>
      <c r="BL46" s="1"/>
      <c r="BM46" s="9"/>
      <c r="BN46" s="10"/>
      <c r="BO46" s="1"/>
      <c r="BP46" s="1"/>
      <c r="BQ46" s="1"/>
      <c r="BR46" s="2"/>
      <c r="BS46" s="18"/>
      <c r="BT46" s="8"/>
      <c r="BU46" s="1"/>
      <c r="BV46" s="1"/>
      <c r="BW46" s="2"/>
      <c r="BX46" s="1"/>
      <c r="BY46" s="9"/>
      <c r="BZ46" s="10"/>
      <c r="CA46" s="1"/>
      <c r="CB46" s="1"/>
      <c r="CC46" s="1"/>
      <c r="CD46" s="2"/>
      <c r="CE46" s="18"/>
      <c r="CF46" s="10"/>
      <c r="CG46" s="1"/>
      <c r="CH46" s="1"/>
      <c r="CI46" s="1"/>
      <c r="CJ46" s="2"/>
      <c r="CK46" s="18"/>
      <c r="CL46" s="10"/>
      <c r="CM46" s="1"/>
      <c r="CN46" s="1"/>
      <c r="CO46" s="1"/>
      <c r="CP46" s="2"/>
      <c r="CQ46" s="18"/>
      <c r="CR46" s="10"/>
      <c r="CS46" s="1"/>
      <c r="CT46" s="1"/>
      <c r="CU46" s="1"/>
      <c r="CV46" s="2"/>
      <c r="CW46" s="18"/>
      <c r="CX46" s="8"/>
      <c r="CY46" s="1"/>
      <c r="CZ46" s="1"/>
      <c r="DA46" s="1"/>
      <c r="DB46" s="2"/>
      <c r="DC46" s="18"/>
      <c r="DD46" s="8"/>
      <c r="DE46" s="1"/>
      <c r="DF46" s="1"/>
      <c r="DG46" s="1"/>
      <c r="DH46" s="1"/>
      <c r="DI46" s="2"/>
      <c r="DJ46" s="60"/>
      <c r="DK46" s="1"/>
      <c r="DL46" s="1"/>
      <c r="DM46" s="1"/>
      <c r="DN46" s="1"/>
      <c r="DO46" s="61"/>
      <c r="DP46" s="10"/>
      <c r="DQ46" s="1"/>
      <c r="DR46" s="1"/>
      <c r="DS46" s="1"/>
      <c r="DT46" s="1"/>
      <c r="DU46" s="61"/>
      <c r="DV46" s="60"/>
      <c r="DW46" s="1"/>
      <c r="DX46" s="1"/>
      <c r="DY46" s="1"/>
      <c r="DZ46" s="1"/>
      <c r="EA46" s="61"/>
      <c r="EB46" s="10"/>
      <c r="EC46" s="1"/>
      <c r="ED46" s="1"/>
      <c r="EE46" s="1"/>
      <c r="EF46" s="1"/>
      <c r="EG46" s="61"/>
      <c r="EH46" s="10"/>
      <c r="EI46" s="1"/>
      <c r="EJ46" s="1"/>
      <c r="EK46" s="1"/>
      <c r="EL46" s="2"/>
      <c r="EM46" s="1"/>
      <c r="EN46" s="51">
        <f>SUM(L46,R46,X46,AD46,AJ46,AP46,AV46,BB46,BH46,BN46,BT46,BZ46,CF46,CL46,CR46,CX46,DD46,DJ46,DP46,DV46,EB46,EH46)/BULLETIN!$B$38*100</f>
        <v>0</v>
      </c>
      <c r="EO46" s="52" t="str">
        <f t="shared" si="0"/>
        <v>10e</v>
      </c>
      <c r="EP46" s="51">
        <f>SUM(M46,S46,Y46,AE46,AK46,AQ46,AW46,BC46,BI46,BO46,BU46,CA46,CG46,CS46,CY46,DE46,DK46,DQ46,EC46,EI46,CM46,DW46)/BULLETIN!$C$38*100</f>
        <v>0</v>
      </c>
      <c r="EQ46" s="52" t="str">
        <f t="shared" si="1"/>
        <v>10e</v>
      </c>
      <c r="ER46" s="51">
        <f>SUM(N46,T46,Z46,AF46,AL46,AR46,AX46,BD46,BJ46,BP46,BV46,CB46,CH46,CT46,CZ46,DF46,DL46,DR46,ED46,EJ46,CN46,DX46)/BULLETIN!$D$38*100</f>
        <v>0</v>
      </c>
      <c r="ES46" s="52" t="str">
        <f t="shared" si="2"/>
        <v>10e</v>
      </c>
      <c r="ET46" s="51">
        <f>SUM(L46:N46,R46:T46,X46:Z46,AD46:AF46,AJ46:AL46,AP46:AR46,AV46:AX46,BB46:BD46,BH46:BJ46,BN46:BP46,BT46:BV46,BZ46:CB46,CF46:CH46,CR46:CT46,CX46:CZ46,DD46:DF46,DJ46:DL46,DP46:DR46,EB46:ED46,EH46:EJ46,CL46:CN46,DV46:DX46)/BULLETIN!$E$38*100</f>
        <v>0</v>
      </c>
      <c r="EU46" s="52" t="str">
        <f t="shared" si="3"/>
        <v>10e</v>
      </c>
      <c r="EV46" s="51">
        <f>SUM(O46,U46,AA46,AG46,AM46,AS46,AY46,BE46,BK46,BQ46,BW46,CC46,CI46,CU46,DA46,DG46,DM46,DS46,EE46,EK46,CO46,DY46)/BULLETIN!$F$38*100</f>
        <v>0</v>
      </c>
      <c r="EW46" s="52" t="str">
        <f t="shared" si="4"/>
        <v>10e</v>
      </c>
      <c r="EX46" s="51">
        <f>SUM(P46,V46,AB46,AH46,AN46,AT46,AZ46,BF46,BL46,BR46,BX46,CD46,CJ46,CV46,DB46,DH46,DN46,DS46,EF46,EL46,CP46,DZ46)/BULLETIN!$G$38*100</f>
        <v>0</v>
      </c>
      <c r="EY46" s="52" t="str">
        <f t="shared" si="5"/>
        <v>10e</v>
      </c>
      <c r="EZ46" s="51">
        <f>SUM(Q46,W46,AC46,AI46,AO46,AU46,BA46,BG46,BM46,BS46,BY46,CE46,CK46,CW46,DC46,DI46,DO46,DU46,EG46,EM46,EA46,CQ46)/BULLETIN!$H$38*100</f>
        <v>0</v>
      </c>
      <c r="FA46" s="52" t="str">
        <f t="shared" si="6"/>
        <v>10e</v>
      </c>
      <c r="FB46" s="51">
        <f>SUM(O46:Q46,U46:W46,AA46:AC46,AG46:AI46,AM46:AO46,AS46:AU46,AY46:BA46,BE46:BG46,BK46:BM46,BQ46:BS46,BW46:BY46,CC46:CE46,CI46:CK46,CU46:CW46,DA46:DC46,DM46:DO46,DS46:DU46,EE46:EG46,EK46:EM46,DG46:DI46,CO46:CQ46,DY46:EA46)/BULLETIN!$I$38*100</f>
        <v>0</v>
      </c>
      <c r="FC46" s="52" t="str">
        <f t="shared" si="7"/>
        <v>10e</v>
      </c>
      <c r="FD46" s="51">
        <f>SUM(L46:EM46)/BULLETIN!$J$38*100</f>
        <v>0</v>
      </c>
      <c r="FE46" s="52" t="str">
        <f t="shared" si="8"/>
        <v>10e</v>
      </c>
    </row>
    <row r="47" spans="1:161" ht="15.5" x14ac:dyDescent="0.35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6"/>
      <c r="L47" s="8"/>
      <c r="M47" s="1"/>
      <c r="N47" s="1"/>
      <c r="O47" s="1"/>
      <c r="P47" s="1"/>
      <c r="Q47" s="9"/>
      <c r="R47" s="10"/>
      <c r="S47" s="1"/>
      <c r="T47" s="1"/>
      <c r="U47" s="1"/>
      <c r="V47" s="2"/>
      <c r="W47" s="18"/>
      <c r="X47" s="8"/>
      <c r="Y47" s="1"/>
      <c r="Z47" s="1"/>
      <c r="AA47" s="1"/>
      <c r="AB47" s="1"/>
      <c r="AC47" s="9"/>
      <c r="AD47" s="8"/>
      <c r="AE47" s="1"/>
      <c r="AF47" s="1"/>
      <c r="AG47" s="1"/>
      <c r="AH47" s="1"/>
      <c r="AI47" s="9"/>
      <c r="AJ47" s="10"/>
      <c r="AK47" s="1"/>
      <c r="AL47" s="1"/>
      <c r="AM47" s="1"/>
      <c r="AN47" s="2"/>
      <c r="AO47" s="18"/>
      <c r="AP47" s="8"/>
      <c r="AQ47" s="1"/>
      <c r="AR47" s="1"/>
      <c r="AS47" s="2"/>
      <c r="AT47" s="1"/>
      <c r="AU47" s="9"/>
      <c r="AV47" s="8"/>
      <c r="AW47" s="1"/>
      <c r="AX47" s="1"/>
      <c r="AY47" s="2"/>
      <c r="AZ47" s="1"/>
      <c r="BA47" s="9"/>
      <c r="BB47" s="10"/>
      <c r="BC47" s="1"/>
      <c r="BD47" s="1"/>
      <c r="BE47" s="1"/>
      <c r="BF47" s="2"/>
      <c r="BG47" s="1"/>
      <c r="BH47" s="10"/>
      <c r="BI47" s="1"/>
      <c r="BJ47" s="1"/>
      <c r="BK47" s="2"/>
      <c r="BL47" s="1"/>
      <c r="BM47" s="9"/>
      <c r="BN47" s="10"/>
      <c r="BO47" s="1"/>
      <c r="BP47" s="1"/>
      <c r="BQ47" s="1"/>
      <c r="BR47" s="2"/>
      <c r="BS47" s="18"/>
      <c r="BT47" s="8"/>
      <c r="BU47" s="1"/>
      <c r="BV47" s="1"/>
      <c r="BW47" s="2"/>
      <c r="BX47" s="1"/>
      <c r="BY47" s="9"/>
      <c r="BZ47" s="10"/>
      <c r="CA47" s="1"/>
      <c r="CB47" s="1"/>
      <c r="CC47" s="1"/>
      <c r="CD47" s="2"/>
      <c r="CE47" s="18"/>
      <c r="CF47" s="10"/>
      <c r="CG47" s="1"/>
      <c r="CH47" s="1"/>
      <c r="CI47" s="1"/>
      <c r="CJ47" s="2"/>
      <c r="CK47" s="18"/>
      <c r="CL47" s="10"/>
      <c r="CM47" s="1"/>
      <c r="CN47" s="1"/>
      <c r="CO47" s="1"/>
      <c r="CP47" s="2"/>
      <c r="CQ47" s="18"/>
      <c r="CR47" s="10"/>
      <c r="CS47" s="1"/>
      <c r="CT47" s="1"/>
      <c r="CU47" s="1"/>
      <c r="CV47" s="2"/>
      <c r="CW47" s="18"/>
      <c r="CX47" s="8"/>
      <c r="CY47" s="1"/>
      <c r="CZ47" s="1"/>
      <c r="DA47" s="1"/>
      <c r="DB47" s="2"/>
      <c r="DC47" s="18"/>
      <c r="DD47" s="8"/>
      <c r="DE47" s="1"/>
      <c r="DF47" s="1"/>
      <c r="DG47" s="1"/>
      <c r="DH47" s="1"/>
      <c r="DI47" s="2"/>
      <c r="DJ47" s="60"/>
      <c r="DK47" s="1"/>
      <c r="DL47" s="1"/>
      <c r="DM47" s="1"/>
      <c r="DN47" s="1"/>
      <c r="DO47" s="61"/>
      <c r="DP47" s="10"/>
      <c r="DQ47" s="1"/>
      <c r="DR47" s="1"/>
      <c r="DS47" s="1"/>
      <c r="DT47" s="1"/>
      <c r="DU47" s="61"/>
      <c r="DV47" s="60"/>
      <c r="DW47" s="1"/>
      <c r="DX47" s="1"/>
      <c r="DY47" s="1"/>
      <c r="DZ47" s="1"/>
      <c r="EA47" s="61"/>
      <c r="EB47" s="10"/>
      <c r="EC47" s="1"/>
      <c r="ED47" s="1"/>
      <c r="EE47" s="1"/>
      <c r="EF47" s="1"/>
      <c r="EG47" s="61"/>
      <c r="EH47" s="10"/>
      <c r="EI47" s="1"/>
      <c r="EJ47" s="1"/>
      <c r="EK47" s="1"/>
      <c r="EL47" s="2"/>
      <c r="EM47" s="1"/>
      <c r="EN47" s="51">
        <f>SUM(L47,R47,X47,AD47,AJ47,AP47,AV47,BB47,BH47,BN47,BT47,BZ47,CF47,CL47,CR47,CX47,DD47,DJ47,DP47,DV47,EB47,EH47)/BULLETIN!$B$38*100</f>
        <v>0</v>
      </c>
      <c r="EO47" s="52" t="str">
        <f t="shared" si="0"/>
        <v>10e</v>
      </c>
      <c r="EP47" s="51">
        <f>SUM(M47,S47,Y47,AE47,AK47,AQ47,AW47,BC47,BI47,BO47,BU47,CA47,CG47,CS47,CY47,DE47,DK47,DQ47,EC47,EI47,CM47,DW47)/BULLETIN!$C$38*100</f>
        <v>0</v>
      </c>
      <c r="EQ47" s="52" t="str">
        <f t="shared" si="1"/>
        <v>10e</v>
      </c>
      <c r="ER47" s="51">
        <f>SUM(N47,T47,Z47,AF47,AL47,AR47,AX47,BD47,BJ47,BP47,BV47,CB47,CH47,CT47,CZ47,DF47,DL47,DR47,ED47,EJ47,CN47,DX47)/BULLETIN!$D$38*100</f>
        <v>0</v>
      </c>
      <c r="ES47" s="52" t="str">
        <f t="shared" si="2"/>
        <v>10e</v>
      </c>
      <c r="ET47" s="51">
        <f>SUM(L47:N47,R47:T47,X47:Z47,AD47:AF47,AJ47:AL47,AP47:AR47,AV47:AX47,BB47:BD47,BH47:BJ47,BN47:BP47,BT47:BV47,BZ47:CB47,CF47:CH47,CR47:CT47,CX47:CZ47,DD47:DF47,DJ47:DL47,DP47:DR47,EB47:ED47,EH47:EJ47,CL47:CN47,DV47:DX47)/BULLETIN!$E$38*100</f>
        <v>0</v>
      </c>
      <c r="EU47" s="52" t="str">
        <f t="shared" si="3"/>
        <v>10e</v>
      </c>
      <c r="EV47" s="51">
        <f>SUM(O47,U47,AA47,AG47,AM47,AS47,AY47,BE47,BK47,BQ47,BW47,CC47,CI47,CU47,DA47,DG47,DM47,DS47,EE47,EK47,CO47,DY47)/BULLETIN!$F$38*100</f>
        <v>0</v>
      </c>
      <c r="EW47" s="52" t="str">
        <f t="shared" si="4"/>
        <v>10e</v>
      </c>
      <c r="EX47" s="51">
        <f>SUM(P47,V47,AB47,AH47,AN47,AT47,AZ47,BF47,BL47,BR47,BX47,CD47,CJ47,CV47,DB47,DH47,DN47,DS47,EF47,EL47,CP47,DZ47)/BULLETIN!$G$38*100</f>
        <v>0</v>
      </c>
      <c r="EY47" s="52" t="str">
        <f t="shared" si="5"/>
        <v>10e</v>
      </c>
      <c r="EZ47" s="51">
        <f>SUM(Q47,W47,AC47,AI47,AO47,AU47,BA47,BG47,BM47,BS47,BY47,CE47,CK47,CW47,DC47,DI47,DO47,DU47,EG47,EM47,EA47,CQ47)/BULLETIN!$H$38*100</f>
        <v>0</v>
      </c>
      <c r="FA47" s="52" t="str">
        <f t="shared" si="6"/>
        <v>10e</v>
      </c>
      <c r="FB47" s="51">
        <f>SUM(O47:Q47,U47:W47,AA47:AC47,AG47:AI47,AM47:AO47,AS47:AU47,AY47:BA47,BE47:BG47,BK47:BM47,BQ47:BS47,BW47:BY47,CC47:CE47,CI47:CK47,CU47:CW47,DA47:DC47,DM47:DO47,DS47:DU47,EE47:EG47,EK47:EM47,DG47:DI47,CO47:CQ47,DY47:EA47)/BULLETIN!$I$38*100</f>
        <v>0</v>
      </c>
      <c r="FC47" s="52" t="str">
        <f t="shared" si="7"/>
        <v>10e</v>
      </c>
      <c r="FD47" s="51">
        <f>SUM(L47:EM47)/BULLETIN!$J$38*100</f>
        <v>0</v>
      </c>
      <c r="FE47" s="52" t="str">
        <f t="shared" si="8"/>
        <v>10e</v>
      </c>
    </row>
    <row r="48" spans="1:161" ht="15.5" x14ac:dyDescent="0.35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6"/>
      <c r="L48" s="8"/>
      <c r="M48" s="1"/>
      <c r="N48" s="1"/>
      <c r="O48" s="1"/>
      <c r="P48" s="1"/>
      <c r="Q48" s="9"/>
      <c r="R48" s="10"/>
      <c r="S48" s="1"/>
      <c r="T48" s="1"/>
      <c r="U48" s="1"/>
      <c r="V48" s="2"/>
      <c r="W48" s="18"/>
      <c r="X48" s="8"/>
      <c r="Y48" s="1"/>
      <c r="Z48" s="1"/>
      <c r="AA48" s="1"/>
      <c r="AB48" s="1"/>
      <c r="AC48" s="9"/>
      <c r="AD48" s="8"/>
      <c r="AE48" s="1"/>
      <c r="AF48" s="1"/>
      <c r="AG48" s="1"/>
      <c r="AH48" s="1"/>
      <c r="AI48" s="9"/>
      <c r="AJ48" s="10"/>
      <c r="AK48" s="1"/>
      <c r="AL48" s="1"/>
      <c r="AM48" s="1"/>
      <c r="AN48" s="2"/>
      <c r="AO48" s="18"/>
      <c r="AP48" s="8"/>
      <c r="AQ48" s="1"/>
      <c r="AR48" s="1"/>
      <c r="AS48" s="2"/>
      <c r="AT48" s="1"/>
      <c r="AU48" s="9"/>
      <c r="AV48" s="8"/>
      <c r="AW48" s="1"/>
      <c r="AX48" s="1"/>
      <c r="AY48" s="2"/>
      <c r="AZ48" s="1"/>
      <c r="BA48" s="9"/>
      <c r="BB48" s="10"/>
      <c r="BC48" s="1"/>
      <c r="BD48" s="1"/>
      <c r="BE48" s="1"/>
      <c r="BF48" s="2"/>
      <c r="BG48" s="1"/>
      <c r="BH48" s="10"/>
      <c r="BI48" s="1"/>
      <c r="BJ48" s="1"/>
      <c r="BK48" s="2"/>
      <c r="BL48" s="1"/>
      <c r="BM48" s="9"/>
      <c r="BN48" s="10"/>
      <c r="BO48" s="1"/>
      <c r="BP48" s="1"/>
      <c r="BQ48" s="1"/>
      <c r="BR48" s="2"/>
      <c r="BS48" s="18"/>
      <c r="BT48" s="8"/>
      <c r="BU48" s="1"/>
      <c r="BV48" s="1"/>
      <c r="BW48" s="2"/>
      <c r="BX48" s="1"/>
      <c r="BY48" s="9"/>
      <c r="BZ48" s="10"/>
      <c r="CA48" s="1"/>
      <c r="CB48" s="1"/>
      <c r="CC48" s="1"/>
      <c r="CD48" s="2"/>
      <c r="CE48" s="18"/>
      <c r="CF48" s="10"/>
      <c r="CG48" s="1"/>
      <c r="CH48" s="1"/>
      <c r="CI48" s="1"/>
      <c r="CJ48" s="2"/>
      <c r="CK48" s="18"/>
      <c r="CL48" s="10"/>
      <c r="CM48" s="1"/>
      <c r="CN48" s="1"/>
      <c r="CO48" s="1"/>
      <c r="CP48" s="2"/>
      <c r="CQ48" s="18"/>
      <c r="CR48" s="10"/>
      <c r="CS48" s="1"/>
      <c r="CT48" s="1"/>
      <c r="CU48" s="1"/>
      <c r="CV48" s="2"/>
      <c r="CW48" s="18"/>
      <c r="CX48" s="8"/>
      <c r="CY48" s="1"/>
      <c r="CZ48" s="1"/>
      <c r="DA48" s="1"/>
      <c r="DB48" s="2"/>
      <c r="DC48" s="18"/>
      <c r="DD48" s="8"/>
      <c r="DE48" s="1"/>
      <c r="DF48" s="1"/>
      <c r="DG48" s="1"/>
      <c r="DH48" s="1"/>
      <c r="DI48" s="2"/>
      <c r="DJ48" s="60"/>
      <c r="DK48" s="1"/>
      <c r="DL48" s="1"/>
      <c r="DM48" s="1"/>
      <c r="DN48" s="1"/>
      <c r="DO48" s="61"/>
      <c r="DP48" s="10"/>
      <c r="DQ48" s="1"/>
      <c r="DR48" s="1"/>
      <c r="DS48" s="1"/>
      <c r="DT48" s="1"/>
      <c r="DU48" s="61"/>
      <c r="DV48" s="60"/>
      <c r="DW48" s="1"/>
      <c r="DX48" s="1"/>
      <c r="DY48" s="1"/>
      <c r="DZ48" s="1"/>
      <c r="EA48" s="61"/>
      <c r="EB48" s="10"/>
      <c r="EC48" s="1"/>
      <c r="ED48" s="1"/>
      <c r="EE48" s="1"/>
      <c r="EF48" s="1"/>
      <c r="EG48" s="61"/>
      <c r="EH48" s="10"/>
      <c r="EI48" s="1"/>
      <c r="EJ48" s="1"/>
      <c r="EK48" s="1"/>
      <c r="EL48" s="2"/>
      <c r="EM48" s="1"/>
      <c r="EN48" s="51">
        <f>SUM(L48,R48,X48,AD48,AJ48,AP48,AV48,BB48,BH48,BN48,BT48,BZ48,CF48,CL48,CR48,CX48,DD48,DJ48,DP48,DV48,EB48,EH48)/BULLETIN!$B$38*100</f>
        <v>0</v>
      </c>
      <c r="EO48" s="52" t="str">
        <f t="shared" si="0"/>
        <v>10e</v>
      </c>
      <c r="EP48" s="51">
        <f>SUM(M48,S48,Y48,AE48,AK48,AQ48,AW48,BC48,BI48,BO48,BU48,CA48,CG48,CS48,CY48,DE48,DK48,DQ48,EC48,EI48,CM48,DW48)/BULLETIN!$C$38*100</f>
        <v>0</v>
      </c>
      <c r="EQ48" s="52" t="str">
        <f t="shared" si="1"/>
        <v>10e</v>
      </c>
      <c r="ER48" s="51">
        <f>SUM(N48,T48,Z48,AF48,AL48,AR48,AX48,BD48,BJ48,BP48,BV48,CB48,CH48,CT48,CZ48,DF48,DL48,DR48,ED48,EJ48,CN48,DX48)/BULLETIN!$D$38*100</f>
        <v>0</v>
      </c>
      <c r="ES48" s="52" t="str">
        <f t="shared" si="2"/>
        <v>10e</v>
      </c>
      <c r="ET48" s="51">
        <f>SUM(L48:N48,R48:T48,X48:Z48,AD48:AF48,AJ48:AL48,AP48:AR48,AV48:AX48,BB48:BD48,BH48:BJ48,BN48:BP48,BT48:BV48,BZ48:CB48,CF48:CH48,CR48:CT48,CX48:CZ48,DD48:DF48,DJ48:DL48,DP48:DR48,EB48:ED48,EH48:EJ48,CL48:CN48,DV48:DX48)/BULLETIN!$E$38*100</f>
        <v>0</v>
      </c>
      <c r="EU48" s="52" t="str">
        <f t="shared" si="3"/>
        <v>10e</v>
      </c>
      <c r="EV48" s="51">
        <f>SUM(O48,U48,AA48,AG48,AM48,AS48,AY48,BE48,BK48,BQ48,BW48,CC48,CI48,CU48,DA48,DG48,DM48,DS48,EE48,EK48,CO48,DY48)/BULLETIN!$F$38*100</f>
        <v>0</v>
      </c>
      <c r="EW48" s="52" t="str">
        <f t="shared" si="4"/>
        <v>10e</v>
      </c>
      <c r="EX48" s="51">
        <f>SUM(P48,V48,AB48,AH48,AN48,AT48,AZ48,BF48,BL48,BR48,BX48,CD48,CJ48,CV48,DB48,DH48,DN48,DS48,EF48,EL48,CP48,DZ48)/BULLETIN!$G$38*100</f>
        <v>0</v>
      </c>
      <c r="EY48" s="52" t="str">
        <f t="shared" si="5"/>
        <v>10e</v>
      </c>
      <c r="EZ48" s="51">
        <f>SUM(Q48,W48,AC48,AI48,AO48,AU48,BA48,BG48,BM48,BS48,BY48,CE48,CK48,CW48,DC48,DI48,DO48,DU48,EG48,EM48,EA48,CQ48)/BULLETIN!$H$38*100</f>
        <v>0</v>
      </c>
      <c r="FA48" s="52" t="str">
        <f t="shared" si="6"/>
        <v>10e</v>
      </c>
      <c r="FB48" s="51">
        <f>SUM(O48:Q48,U48:W48,AA48:AC48,AG48:AI48,AM48:AO48,AS48:AU48,AY48:BA48,BE48:BG48,BK48:BM48,BQ48:BS48,BW48:BY48,CC48:CE48,CI48:CK48,CU48:CW48,DA48:DC48,DM48:DO48,DS48:DU48,EE48:EG48,EK48:EM48,DG48:DI48,CO48:CQ48,DY48:EA48)/BULLETIN!$I$38*100</f>
        <v>0</v>
      </c>
      <c r="FC48" s="52" t="str">
        <f t="shared" si="7"/>
        <v>10e</v>
      </c>
      <c r="FD48" s="51">
        <f>SUM(L48:EM48)/BULLETIN!$J$38*100</f>
        <v>0</v>
      </c>
      <c r="FE48" s="52" t="str">
        <f t="shared" si="8"/>
        <v>10e</v>
      </c>
    </row>
    <row r="49" spans="1:161" ht="15.5" x14ac:dyDescent="0.35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6"/>
      <c r="L49" s="8"/>
      <c r="M49" s="1"/>
      <c r="N49" s="1"/>
      <c r="O49" s="1"/>
      <c r="P49" s="1"/>
      <c r="Q49" s="9"/>
      <c r="R49" s="10"/>
      <c r="S49" s="1"/>
      <c r="T49" s="1"/>
      <c r="U49" s="1"/>
      <c r="V49" s="2"/>
      <c r="W49" s="18"/>
      <c r="X49" s="8"/>
      <c r="Y49" s="1"/>
      <c r="Z49" s="1"/>
      <c r="AA49" s="1"/>
      <c r="AB49" s="1"/>
      <c r="AC49" s="9"/>
      <c r="AD49" s="8"/>
      <c r="AE49" s="1"/>
      <c r="AF49" s="1"/>
      <c r="AG49" s="1"/>
      <c r="AH49" s="1"/>
      <c r="AI49" s="9"/>
      <c r="AJ49" s="10"/>
      <c r="AK49" s="1"/>
      <c r="AL49" s="1"/>
      <c r="AM49" s="1"/>
      <c r="AN49" s="2"/>
      <c r="AO49" s="18"/>
      <c r="AP49" s="8"/>
      <c r="AQ49" s="1"/>
      <c r="AR49" s="1"/>
      <c r="AS49" s="2"/>
      <c r="AT49" s="1"/>
      <c r="AU49" s="9"/>
      <c r="AV49" s="8"/>
      <c r="AW49" s="1"/>
      <c r="AX49" s="1"/>
      <c r="AY49" s="2"/>
      <c r="AZ49" s="1"/>
      <c r="BA49" s="9"/>
      <c r="BB49" s="10"/>
      <c r="BC49" s="1"/>
      <c r="BD49" s="1"/>
      <c r="BE49" s="1"/>
      <c r="BF49" s="2"/>
      <c r="BG49" s="1"/>
      <c r="BH49" s="10"/>
      <c r="BI49" s="1"/>
      <c r="BJ49" s="1"/>
      <c r="BK49" s="2"/>
      <c r="BL49" s="1"/>
      <c r="BM49" s="9"/>
      <c r="BN49" s="10"/>
      <c r="BO49" s="1"/>
      <c r="BP49" s="1"/>
      <c r="BQ49" s="1"/>
      <c r="BR49" s="2"/>
      <c r="BS49" s="18"/>
      <c r="BT49" s="8"/>
      <c r="BU49" s="1"/>
      <c r="BV49" s="1"/>
      <c r="BW49" s="2"/>
      <c r="BX49" s="1"/>
      <c r="BY49" s="9"/>
      <c r="BZ49" s="10"/>
      <c r="CA49" s="1"/>
      <c r="CB49" s="1"/>
      <c r="CC49" s="1"/>
      <c r="CD49" s="2"/>
      <c r="CE49" s="18"/>
      <c r="CF49" s="10"/>
      <c r="CG49" s="1"/>
      <c r="CH49" s="1"/>
      <c r="CI49" s="1"/>
      <c r="CJ49" s="2"/>
      <c r="CK49" s="18"/>
      <c r="CL49" s="10"/>
      <c r="CM49" s="1"/>
      <c r="CN49" s="1"/>
      <c r="CO49" s="1"/>
      <c r="CP49" s="2"/>
      <c r="CQ49" s="18"/>
      <c r="CR49" s="10"/>
      <c r="CS49" s="1"/>
      <c r="CT49" s="1"/>
      <c r="CU49" s="1"/>
      <c r="CV49" s="2"/>
      <c r="CW49" s="18"/>
      <c r="CX49" s="8"/>
      <c r="CY49" s="1"/>
      <c r="CZ49" s="1"/>
      <c r="DA49" s="1"/>
      <c r="DB49" s="2"/>
      <c r="DC49" s="18"/>
      <c r="DD49" s="8"/>
      <c r="DE49" s="1"/>
      <c r="DF49" s="1"/>
      <c r="DG49" s="1"/>
      <c r="DH49" s="1"/>
      <c r="DI49" s="2"/>
      <c r="DJ49" s="60"/>
      <c r="DK49" s="1"/>
      <c r="DL49" s="1"/>
      <c r="DM49" s="1"/>
      <c r="DN49" s="1"/>
      <c r="DO49" s="61"/>
      <c r="DP49" s="10"/>
      <c r="DQ49" s="1"/>
      <c r="DR49" s="1"/>
      <c r="DS49" s="1"/>
      <c r="DT49" s="1"/>
      <c r="DU49" s="61"/>
      <c r="DV49" s="60"/>
      <c r="DW49" s="1"/>
      <c r="DX49" s="1"/>
      <c r="DY49" s="1"/>
      <c r="DZ49" s="1"/>
      <c r="EA49" s="61"/>
      <c r="EB49" s="10"/>
      <c r="EC49" s="1"/>
      <c r="ED49" s="1"/>
      <c r="EE49" s="1"/>
      <c r="EF49" s="1"/>
      <c r="EG49" s="61"/>
      <c r="EH49" s="10"/>
      <c r="EI49" s="1"/>
      <c r="EJ49" s="1"/>
      <c r="EK49" s="1"/>
      <c r="EL49" s="2"/>
      <c r="EM49" s="1"/>
      <c r="EN49" s="51">
        <f>SUM(L49,R49,X49,AD49,AJ49,AP49,AV49,BB49,BH49,BN49,BT49,BZ49,CF49,CL49,CR49,CX49,DD49,DJ49,DP49,DV49,EB49,EH49)/BULLETIN!$B$38*100</f>
        <v>0</v>
      </c>
      <c r="EO49" s="52" t="str">
        <f t="shared" si="0"/>
        <v>10e</v>
      </c>
      <c r="EP49" s="51">
        <f>SUM(M49,S49,Y49,AE49,AK49,AQ49,AW49,BC49,BI49,BO49,BU49,CA49,CG49,CS49,CY49,DE49,DK49,DQ49,EC49,EI49,CM49,DW49)/BULLETIN!$C$38*100</f>
        <v>0</v>
      </c>
      <c r="EQ49" s="52" t="str">
        <f t="shared" si="1"/>
        <v>10e</v>
      </c>
      <c r="ER49" s="51">
        <f>SUM(N49,T49,Z49,AF49,AL49,AR49,AX49,BD49,BJ49,BP49,BV49,CB49,CH49,CT49,CZ49,DF49,DL49,DR49,ED49,EJ49,CN49,DX49)/BULLETIN!$D$38*100</f>
        <v>0</v>
      </c>
      <c r="ES49" s="52" t="str">
        <f t="shared" si="2"/>
        <v>10e</v>
      </c>
      <c r="ET49" s="51">
        <f>SUM(L49:N49,R49:T49,X49:Z49,AD49:AF49,AJ49:AL49,AP49:AR49,AV49:AX49,BB49:BD49,BH49:BJ49,BN49:BP49,BT49:BV49,BZ49:CB49,CF49:CH49,CR49:CT49,CX49:CZ49,DD49:DF49,DJ49:DL49,DP49:DR49,EB49:ED49,EH49:EJ49,CL49:CN49,DV49:DX49)/BULLETIN!$E$38*100</f>
        <v>0</v>
      </c>
      <c r="EU49" s="52" t="str">
        <f t="shared" si="3"/>
        <v>10e</v>
      </c>
      <c r="EV49" s="51">
        <f>SUM(O49,U49,AA49,AG49,AM49,AS49,AY49,BE49,BK49,BQ49,BW49,CC49,CI49,CU49,DA49,DG49,DM49,DS49,EE49,EK49,CO49,DY49)/BULLETIN!$F$38*100</f>
        <v>0</v>
      </c>
      <c r="EW49" s="52" t="str">
        <f t="shared" si="4"/>
        <v>10e</v>
      </c>
      <c r="EX49" s="51">
        <f>SUM(P49,V49,AB49,AH49,AN49,AT49,AZ49,BF49,BL49,BR49,BX49,CD49,CJ49,CV49,DB49,DH49,DN49,DS49,EF49,EL49,CP49,DZ49)/BULLETIN!$G$38*100</f>
        <v>0</v>
      </c>
      <c r="EY49" s="52" t="str">
        <f t="shared" si="5"/>
        <v>10e</v>
      </c>
      <c r="EZ49" s="51">
        <f>SUM(Q49,W49,AC49,AI49,AO49,AU49,BA49,BG49,BM49,BS49,BY49,CE49,CK49,CW49,DC49,DI49,DO49,DU49,EG49,EM49,EA49,CQ49)/BULLETIN!$H$38*100</f>
        <v>0</v>
      </c>
      <c r="FA49" s="52" t="str">
        <f t="shared" si="6"/>
        <v>10e</v>
      </c>
      <c r="FB49" s="51">
        <f>SUM(O49:Q49,U49:W49,AA49:AC49,AG49:AI49,AM49:AO49,AS49:AU49,AY49:BA49,BE49:BG49,BK49:BM49,BQ49:BS49,BW49:BY49,CC49:CE49,CI49:CK49,CU49:CW49,DA49:DC49,DM49:DO49,DS49:DU49,EE49:EG49,EK49:EM49,DG49:DI49,CO49:CQ49,DY49:EA49)/BULLETIN!$I$38*100</f>
        <v>0</v>
      </c>
      <c r="FC49" s="52" t="str">
        <f t="shared" si="7"/>
        <v>10e</v>
      </c>
      <c r="FD49" s="51">
        <f>SUM(L49:EM49)/BULLETIN!$J$38*100</f>
        <v>0</v>
      </c>
      <c r="FE49" s="52" t="str">
        <f t="shared" si="8"/>
        <v>10e</v>
      </c>
    </row>
    <row r="50" spans="1:161" ht="15.5" x14ac:dyDescent="0.35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6"/>
      <c r="L50" s="8"/>
      <c r="M50" s="1"/>
      <c r="N50" s="1"/>
      <c r="O50" s="1"/>
      <c r="P50" s="1"/>
      <c r="Q50" s="9"/>
      <c r="R50" s="10"/>
      <c r="S50" s="1"/>
      <c r="T50" s="1"/>
      <c r="U50" s="1"/>
      <c r="V50" s="2"/>
      <c r="W50" s="18"/>
      <c r="X50" s="8"/>
      <c r="Y50" s="1"/>
      <c r="Z50" s="1"/>
      <c r="AA50" s="1"/>
      <c r="AB50" s="1"/>
      <c r="AC50" s="9"/>
      <c r="AD50" s="8"/>
      <c r="AE50" s="1"/>
      <c r="AF50" s="1"/>
      <c r="AG50" s="1"/>
      <c r="AH50" s="1"/>
      <c r="AI50" s="9"/>
      <c r="AJ50" s="10"/>
      <c r="AK50" s="1"/>
      <c r="AL50" s="1"/>
      <c r="AM50" s="1"/>
      <c r="AN50" s="2"/>
      <c r="AO50" s="18"/>
      <c r="AP50" s="8"/>
      <c r="AQ50" s="1"/>
      <c r="AR50" s="1"/>
      <c r="AS50" s="2"/>
      <c r="AT50" s="1"/>
      <c r="AU50" s="9"/>
      <c r="AV50" s="8"/>
      <c r="AW50" s="1"/>
      <c r="AX50" s="1"/>
      <c r="AY50" s="2"/>
      <c r="AZ50" s="1"/>
      <c r="BA50" s="9"/>
      <c r="BB50" s="10"/>
      <c r="BC50" s="1"/>
      <c r="BD50" s="1"/>
      <c r="BE50" s="1"/>
      <c r="BF50" s="2"/>
      <c r="BG50" s="1"/>
      <c r="BH50" s="10"/>
      <c r="BI50" s="1"/>
      <c r="BJ50" s="1"/>
      <c r="BK50" s="2"/>
      <c r="BL50" s="1"/>
      <c r="BM50" s="9"/>
      <c r="BN50" s="10"/>
      <c r="BO50" s="1"/>
      <c r="BP50" s="1"/>
      <c r="BQ50" s="1"/>
      <c r="BR50" s="2"/>
      <c r="BS50" s="18"/>
      <c r="BT50" s="8"/>
      <c r="BU50" s="1"/>
      <c r="BV50" s="1"/>
      <c r="BW50" s="2"/>
      <c r="BX50" s="1"/>
      <c r="BY50" s="9"/>
      <c r="BZ50" s="10"/>
      <c r="CA50" s="1"/>
      <c r="CB50" s="1"/>
      <c r="CC50" s="1"/>
      <c r="CD50" s="2"/>
      <c r="CE50" s="18"/>
      <c r="CF50" s="10"/>
      <c r="CG50" s="1"/>
      <c r="CH50" s="1"/>
      <c r="CI50" s="1"/>
      <c r="CJ50" s="2"/>
      <c r="CK50" s="18"/>
      <c r="CL50" s="10"/>
      <c r="CM50" s="1"/>
      <c r="CN50" s="1"/>
      <c r="CO50" s="1"/>
      <c r="CP50" s="2"/>
      <c r="CQ50" s="18"/>
      <c r="CR50" s="10"/>
      <c r="CS50" s="1"/>
      <c r="CT50" s="1"/>
      <c r="CU50" s="1"/>
      <c r="CV50" s="2"/>
      <c r="CW50" s="18"/>
      <c r="CX50" s="8"/>
      <c r="CY50" s="1"/>
      <c r="CZ50" s="1"/>
      <c r="DA50" s="1"/>
      <c r="DB50" s="2"/>
      <c r="DC50" s="18"/>
      <c r="DD50" s="8"/>
      <c r="DE50" s="1"/>
      <c r="DF50" s="1"/>
      <c r="DG50" s="1"/>
      <c r="DH50" s="1"/>
      <c r="DI50" s="2"/>
      <c r="DJ50" s="60"/>
      <c r="DK50" s="1"/>
      <c r="DL50" s="1"/>
      <c r="DM50" s="1"/>
      <c r="DN50" s="1"/>
      <c r="DO50" s="61"/>
      <c r="DP50" s="10"/>
      <c r="DQ50" s="1"/>
      <c r="DR50" s="1"/>
      <c r="DS50" s="1"/>
      <c r="DT50" s="1"/>
      <c r="DU50" s="61"/>
      <c r="DV50" s="60"/>
      <c r="DW50" s="1"/>
      <c r="DX50" s="1"/>
      <c r="DY50" s="1"/>
      <c r="DZ50" s="1"/>
      <c r="EA50" s="61"/>
      <c r="EB50" s="10"/>
      <c r="EC50" s="1"/>
      <c r="ED50" s="1"/>
      <c r="EE50" s="1"/>
      <c r="EF50" s="1"/>
      <c r="EG50" s="61"/>
      <c r="EH50" s="10"/>
      <c r="EI50" s="1"/>
      <c r="EJ50" s="1"/>
      <c r="EK50" s="1"/>
      <c r="EL50" s="2"/>
      <c r="EM50" s="1"/>
      <c r="EN50" s="51">
        <f>SUM(L50,R50,X50,AD50,AJ50,AP50,AV50,BB50,BH50,BN50,BT50,BZ50,CF50,CL50,CR50,CX50,DD50,DJ50,DP50,DV50,EB50,EH50)/BULLETIN!$B$38*100</f>
        <v>0</v>
      </c>
      <c r="EO50" s="52" t="str">
        <f t="shared" si="0"/>
        <v>10e</v>
      </c>
      <c r="EP50" s="51">
        <f>SUM(M50,S50,Y50,AE50,AK50,AQ50,AW50,BC50,BI50,BO50,BU50,CA50,CG50,CS50,CY50,DE50,DK50,DQ50,EC50,EI50,CM50,DW50)/BULLETIN!$C$38*100</f>
        <v>0</v>
      </c>
      <c r="EQ50" s="52" t="str">
        <f t="shared" si="1"/>
        <v>10e</v>
      </c>
      <c r="ER50" s="51">
        <f>SUM(N50,T50,Z50,AF50,AL50,AR50,AX50,BD50,BJ50,BP50,BV50,CB50,CH50,CT50,CZ50,DF50,DL50,DR50,ED50,EJ50,CN50,DX50)/BULLETIN!$D$38*100</f>
        <v>0</v>
      </c>
      <c r="ES50" s="52" t="str">
        <f t="shared" si="2"/>
        <v>10e</v>
      </c>
      <c r="ET50" s="51">
        <f>SUM(L50:N50,R50:T50,X50:Z50,AD50:AF50,AJ50:AL50,AP50:AR50,AV50:AX50,BB50:BD50,BH50:BJ50,BN50:BP50,BT50:BV50,BZ50:CB50,CF50:CH50,CR50:CT50,CX50:CZ50,DD50:DF50,DJ50:DL50,DP50:DR50,EB50:ED50,EH50:EJ50,CL50:CN50,DV50:DX50)/BULLETIN!$E$38*100</f>
        <v>0</v>
      </c>
      <c r="EU50" s="52" t="str">
        <f t="shared" si="3"/>
        <v>10e</v>
      </c>
      <c r="EV50" s="51">
        <f>SUM(O50,U50,AA50,AG50,AM50,AS50,AY50,BE50,BK50,BQ50,BW50,CC50,CI50,CU50,DA50,DG50,DM50,DS50,EE50,EK50,CO50,DY50)/BULLETIN!$F$38*100</f>
        <v>0</v>
      </c>
      <c r="EW50" s="52" t="str">
        <f t="shared" si="4"/>
        <v>10e</v>
      </c>
      <c r="EX50" s="51">
        <f>SUM(P50,V50,AB50,AH50,AN50,AT50,AZ50,BF50,BL50,BR50,BX50,CD50,CJ50,CV50,DB50,DH50,DN50,DS50,EF50,EL50,CP50,DZ50)/BULLETIN!$G$38*100</f>
        <v>0</v>
      </c>
      <c r="EY50" s="52" t="str">
        <f t="shared" si="5"/>
        <v>10e</v>
      </c>
      <c r="EZ50" s="51">
        <f>SUM(Q50,W50,AC50,AI50,AO50,AU50,BA50,BG50,BM50,BS50,BY50,CE50,CK50,CW50,DC50,DI50,DO50,DU50,EG50,EM50,EA50,CQ50)/BULLETIN!$H$38*100</f>
        <v>0</v>
      </c>
      <c r="FA50" s="52" t="str">
        <f t="shared" si="6"/>
        <v>10e</v>
      </c>
      <c r="FB50" s="51">
        <f>SUM(O50:Q50,U50:W50,AA50:AC50,AG50:AI50,AM50:AO50,AS50:AU50,AY50:BA50,BE50:BG50,BK50:BM50,BQ50:BS50,BW50:BY50,CC50:CE50,CI50:CK50,CU50:CW50,DA50:DC50,DM50:DO50,DS50:DU50,EE50:EG50,EK50:EM50,DG50:DI50,CO50:CQ50,DY50:EA50)/BULLETIN!$I$38*100</f>
        <v>0</v>
      </c>
      <c r="FC50" s="52" t="str">
        <f t="shared" si="7"/>
        <v>10e</v>
      </c>
      <c r="FD50" s="51">
        <f>SUM(L50:EM50)/BULLETIN!$J$38*100</f>
        <v>0</v>
      </c>
      <c r="FE50" s="52" t="str">
        <f t="shared" si="8"/>
        <v>10e</v>
      </c>
    </row>
    <row r="51" spans="1:161" ht="15.5" x14ac:dyDescent="0.35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6"/>
      <c r="L51" s="8"/>
      <c r="M51" s="1"/>
      <c r="N51" s="1"/>
      <c r="O51" s="1"/>
      <c r="P51" s="1"/>
      <c r="Q51" s="9"/>
      <c r="R51" s="10"/>
      <c r="S51" s="1"/>
      <c r="T51" s="1"/>
      <c r="U51" s="1"/>
      <c r="V51" s="2"/>
      <c r="W51" s="18"/>
      <c r="X51" s="8"/>
      <c r="Y51" s="1"/>
      <c r="Z51" s="1"/>
      <c r="AA51" s="1"/>
      <c r="AB51" s="1"/>
      <c r="AC51" s="9"/>
      <c r="AD51" s="8"/>
      <c r="AE51" s="1"/>
      <c r="AF51" s="1"/>
      <c r="AG51" s="1"/>
      <c r="AH51" s="1"/>
      <c r="AI51" s="9"/>
      <c r="AJ51" s="10"/>
      <c r="AK51" s="1"/>
      <c r="AL51" s="1"/>
      <c r="AM51" s="1"/>
      <c r="AN51" s="2"/>
      <c r="AO51" s="18"/>
      <c r="AP51" s="8"/>
      <c r="AQ51" s="1"/>
      <c r="AR51" s="1"/>
      <c r="AS51" s="2"/>
      <c r="AT51" s="1"/>
      <c r="AU51" s="9"/>
      <c r="AV51" s="8"/>
      <c r="AW51" s="1"/>
      <c r="AX51" s="1"/>
      <c r="AY51" s="2"/>
      <c r="AZ51" s="1"/>
      <c r="BA51" s="9"/>
      <c r="BB51" s="10"/>
      <c r="BC51" s="1"/>
      <c r="BD51" s="1"/>
      <c r="BE51" s="1"/>
      <c r="BF51" s="2"/>
      <c r="BG51" s="1"/>
      <c r="BH51" s="10"/>
      <c r="BI51" s="1"/>
      <c r="BJ51" s="1"/>
      <c r="BK51" s="2"/>
      <c r="BL51" s="1"/>
      <c r="BM51" s="9"/>
      <c r="BN51" s="10"/>
      <c r="BO51" s="1"/>
      <c r="BP51" s="1"/>
      <c r="BQ51" s="1"/>
      <c r="BR51" s="2"/>
      <c r="BS51" s="18"/>
      <c r="BT51" s="8"/>
      <c r="BU51" s="1"/>
      <c r="BV51" s="1"/>
      <c r="BW51" s="2"/>
      <c r="BX51" s="1"/>
      <c r="BY51" s="9"/>
      <c r="BZ51" s="10"/>
      <c r="CA51" s="1"/>
      <c r="CB51" s="1"/>
      <c r="CC51" s="1"/>
      <c r="CD51" s="2"/>
      <c r="CE51" s="18"/>
      <c r="CF51" s="10"/>
      <c r="CG51" s="1"/>
      <c r="CH51" s="1"/>
      <c r="CI51" s="1"/>
      <c r="CJ51" s="2"/>
      <c r="CK51" s="18"/>
      <c r="CL51" s="10"/>
      <c r="CM51" s="1"/>
      <c r="CN51" s="1"/>
      <c r="CO51" s="1"/>
      <c r="CP51" s="2"/>
      <c r="CQ51" s="18"/>
      <c r="CR51" s="10"/>
      <c r="CS51" s="1"/>
      <c r="CT51" s="1"/>
      <c r="CU51" s="1"/>
      <c r="CV51" s="2"/>
      <c r="CW51" s="18"/>
      <c r="CX51" s="8"/>
      <c r="CY51" s="1"/>
      <c r="CZ51" s="1"/>
      <c r="DA51" s="1"/>
      <c r="DB51" s="2"/>
      <c r="DC51" s="18"/>
      <c r="DD51" s="8"/>
      <c r="DE51" s="1"/>
      <c r="DF51" s="1"/>
      <c r="DG51" s="1"/>
      <c r="DH51" s="1"/>
      <c r="DI51" s="2"/>
      <c r="DJ51" s="60"/>
      <c r="DK51" s="1"/>
      <c r="DL51" s="1"/>
      <c r="DM51" s="1"/>
      <c r="DN51" s="1"/>
      <c r="DO51" s="61"/>
      <c r="DP51" s="10"/>
      <c r="DQ51" s="1"/>
      <c r="DR51" s="1"/>
      <c r="DS51" s="1"/>
      <c r="DT51" s="1"/>
      <c r="DU51" s="61"/>
      <c r="DV51" s="60"/>
      <c r="DW51" s="1"/>
      <c r="DX51" s="1"/>
      <c r="DY51" s="1"/>
      <c r="DZ51" s="1"/>
      <c r="EA51" s="61"/>
      <c r="EB51" s="10"/>
      <c r="EC51" s="1"/>
      <c r="ED51" s="1"/>
      <c r="EE51" s="1"/>
      <c r="EF51" s="1"/>
      <c r="EG51" s="61"/>
      <c r="EH51" s="10"/>
      <c r="EI51" s="1"/>
      <c r="EJ51" s="1"/>
      <c r="EK51" s="1"/>
      <c r="EL51" s="2"/>
      <c r="EM51" s="1"/>
      <c r="EN51" s="51">
        <f>SUM(L51,R51,X51,AD51,AJ51,AP51,AV51,BB51,BH51,BN51,BT51,BZ51,CF51,CL51,CR51,CX51,DD51,DJ51,DP51,DV51,EB51,EH51)/BULLETIN!$B$38*100</f>
        <v>0</v>
      </c>
      <c r="EO51" s="52" t="str">
        <f t="shared" si="0"/>
        <v>10e</v>
      </c>
      <c r="EP51" s="51">
        <f>SUM(M51,S51,Y51,AE51,AK51,AQ51,AW51,BC51,BI51,BO51,BU51,CA51,CG51,CS51,CY51,DE51,DK51,DQ51,EC51,EI51,CM51,DW51)/BULLETIN!$C$38*100</f>
        <v>0</v>
      </c>
      <c r="EQ51" s="52" t="str">
        <f t="shared" si="1"/>
        <v>10e</v>
      </c>
      <c r="ER51" s="51">
        <f>SUM(N51,T51,Z51,AF51,AL51,AR51,AX51,BD51,BJ51,BP51,BV51,CB51,CH51,CT51,CZ51,DF51,DL51,DR51,ED51,EJ51,CN51,DX51)/BULLETIN!$D$38*100</f>
        <v>0</v>
      </c>
      <c r="ES51" s="52" t="str">
        <f t="shared" si="2"/>
        <v>10e</v>
      </c>
      <c r="ET51" s="51">
        <f>SUM(L51:N51,R51:T51,X51:Z51,AD51:AF51,AJ51:AL51,AP51:AR51,AV51:AX51,BB51:BD51,BH51:BJ51,BN51:BP51,BT51:BV51,BZ51:CB51,CF51:CH51,CR51:CT51,CX51:CZ51,DD51:DF51,DJ51:DL51,DP51:DR51,EB51:ED51,EH51:EJ51,CL51:CN51,DV51:DX51)/BULLETIN!$E$38*100</f>
        <v>0</v>
      </c>
      <c r="EU51" s="52" t="str">
        <f t="shared" si="3"/>
        <v>10e</v>
      </c>
      <c r="EV51" s="51">
        <f>SUM(O51,U51,AA51,AG51,AM51,AS51,AY51,BE51,BK51,BQ51,BW51,CC51,CI51,CU51,DA51,DG51,DM51,DS51,EE51,EK51,CO51,DY51)/BULLETIN!$F$38*100</f>
        <v>0</v>
      </c>
      <c r="EW51" s="52" t="str">
        <f t="shared" si="4"/>
        <v>10e</v>
      </c>
      <c r="EX51" s="51">
        <f>SUM(P51,V51,AB51,AH51,AN51,AT51,AZ51,BF51,BL51,BR51,BX51,CD51,CJ51,CV51,DB51,DH51,DN51,DS51,EF51,EL51,CP51,DZ51)/BULLETIN!$G$38*100</f>
        <v>0</v>
      </c>
      <c r="EY51" s="52" t="str">
        <f t="shared" si="5"/>
        <v>10e</v>
      </c>
      <c r="EZ51" s="51">
        <f>SUM(Q51,W51,AC51,AI51,AO51,AU51,BA51,BG51,BM51,BS51,BY51,CE51,CK51,CW51,DC51,DI51,DO51,DU51,EG51,EM51,EA51,CQ51)/BULLETIN!$H$38*100</f>
        <v>0</v>
      </c>
      <c r="FA51" s="52" t="str">
        <f t="shared" si="6"/>
        <v>10e</v>
      </c>
      <c r="FB51" s="51">
        <f>SUM(O51:Q51,U51:W51,AA51:AC51,AG51:AI51,AM51:AO51,AS51:AU51,AY51:BA51,BE51:BG51,BK51:BM51,BQ51:BS51,BW51:BY51,CC51:CE51,CI51:CK51,CU51:CW51,DA51:DC51,DM51:DO51,DS51:DU51,EE51:EG51,EK51:EM51,DG51:DI51,CO51:CQ51,DY51:EA51)/BULLETIN!$I$38*100</f>
        <v>0</v>
      </c>
      <c r="FC51" s="52" t="str">
        <f t="shared" si="7"/>
        <v>10e</v>
      </c>
      <c r="FD51" s="51">
        <f>SUM(L51:EM51)/BULLETIN!$J$38*100</f>
        <v>0</v>
      </c>
      <c r="FE51" s="52" t="str">
        <f t="shared" si="8"/>
        <v>10e</v>
      </c>
    </row>
    <row r="52" spans="1:161" ht="15.5" x14ac:dyDescent="0.35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6"/>
      <c r="L52" s="8"/>
      <c r="M52" s="1"/>
      <c r="N52" s="1"/>
      <c r="O52" s="1"/>
      <c r="P52" s="1"/>
      <c r="Q52" s="9"/>
      <c r="R52" s="10"/>
      <c r="S52" s="1"/>
      <c r="T52" s="1"/>
      <c r="U52" s="1"/>
      <c r="V52" s="2"/>
      <c r="W52" s="18"/>
      <c r="X52" s="8"/>
      <c r="Y52" s="1"/>
      <c r="Z52" s="1"/>
      <c r="AA52" s="1"/>
      <c r="AB52" s="1"/>
      <c r="AC52" s="9"/>
      <c r="AD52" s="8"/>
      <c r="AE52" s="1"/>
      <c r="AF52" s="1"/>
      <c r="AG52" s="1"/>
      <c r="AH52" s="1"/>
      <c r="AI52" s="9"/>
      <c r="AJ52" s="10"/>
      <c r="AK52" s="1"/>
      <c r="AL52" s="1"/>
      <c r="AM52" s="1"/>
      <c r="AN52" s="2"/>
      <c r="AO52" s="18"/>
      <c r="AP52" s="8"/>
      <c r="AQ52" s="1"/>
      <c r="AR52" s="1"/>
      <c r="AS52" s="2"/>
      <c r="AT52" s="1"/>
      <c r="AU52" s="9"/>
      <c r="AV52" s="8"/>
      <c r="AW52" s="1"/>
      <c r="AX52" s="1"/>
      <c r="AY52" s="2"/>
      <c r="AZ52" s="1"/>
      <c r="BA52" s="9"/>
      <c r="BB52" s="10"/>
      <c r="BC52" s="1"/>
      <c r="BD52" s="1"/>
      <c r="BE52" s="1"/>
      <c r="BF52" s="2"/>
      <c r="BG52" s="1"/>
      <c r="BH52" s="10"/>
      <c r="BI52" s="1"/>
      <c r="BJ52" s="1"/>
      <c r="BK52" s="2"/>
      <c r="BL52" s="1"/>
      <c r="BM52" s="9"/>
      <c r="BN52" s="10"/>
      <c r="BO52" s="1"/>
      <c r="BP52" s="1"/>
      <c r="BQ52" s="1"/>
      <c r="BR52" s="2"/>
      <c r="BS52" s="18"/>
      <c r="BT52" s="8"/>
      <c r="BU52" s="1"/>
      <c r="BV52" s="1"/>
      <c r="BW52" s="2"/>
      <c r="BX52" s="1"/>
      <c r="BY52" s="9"/>
      <c r="BZ52" s="10"/>
      <c r="CA52" s="1"/>
      <c r="CB52" s="1"/>
      <c r="CC52" s="1"/>
      <c r="CD52" s="2"/>
      <c r="CE52" s="18"/>
      <c r="CF52" s="10"/>
      <c r="CG52" s="1"/>
      <c r="CH52" s="1"/>
      <c r="CI52" s="1"/>
      <c r="CJ52" s="2"/>
      <c r="CK52" s="18"/>
      <c r="CL52" s="10"/>
      <c r="CM52" s="1"/>
      <c r="CN52" s="1"/>
      <c r="CO52" s="1"/>
      <c r="CP52" s="2"/>
      <c r="CQ52" s="18"/>
      <c r="CR52" s="10"/>
      <c r="CS52" s="1"/>
      <c r="CT52" s="1"/>
      <c r="CU52" s="1"/>
      <c r="CV52" s="2"/>
      <c r="CW52" s="18"/>
      <c r="CX52" s="8"/>
      <c r="CY52" s="1"/>
      <c r="CZ52" s="1"/>
      <c r="DA52" s="1"/>
      <c r="DB52" s="2"/>
      <c r="DC52" s="18"/>
      <c r="DD52" s="8"/>
      <c r="DE52" s="1"/>
      <c r="DF52" s="1"/>
      <c r="DG52" s="1"/>
      <c r="DH52" s="1"/>
      <c r="DI52" s="2"/>
      <c r="DJ52" s="60"/>
      <c r="DK52" s="1"/>
      <c r="DL52" s="1"/>
      <c r="DM52" s="1"/>
      <c r="DN52" s="1"/>
      <c r="DO52" s="61"/>
      <c r="DP52" s="10"/>
      <c r="DQ52" s="1"/>
      <c r="DR52" s="1"/>
      <c r="DS52" s="1"/>
      <c r="DT52" s="1"/>
      <c r="DU52" s="61"/>
      <c r="DV52" s="60"/>
      <c r="DW52" s="1"/>
      <c r="DX52" s="1"/>
      <c r="DY52" s="1"/>
      <c r="DZ52" s="1"/>
      <c r="EA52" s="61"/>
      <c r="EB52" s="10"/>
      <c r="EC52" s="1"/>
      <c r="ED52" s="1"/>
      <c r="EE52" s="1"/>
      <c r="EF52" s="1"/>
      <c r="EG52" s="61"/>
      <c r="EH52" s="10"/>
      <c r="EI52" s="1"/>
      <c r="EJ52" s="1"/>
      <c r="EK52" s="1"/>
      <c r="EL52" s="2"/>
      <c r="EM52" s="1"/>
      <c r="EN52" s="51">
        <f>SUM(L52,R52,X52,AD52,AJ52,AP52,AV52,BB52,BH52,BN52,BT52,BZ52,CF52,CL52,CR52,CX52,DD52,DJ52,DP52,DV52,EB52,EH52)/BULLETIN!$B$38*100</f>
        <v>0</v>
      </c>
      <c r="EO52" s="52" t="str">
        <f t="shared" si="0"/>
        <v>10e</v>
      </c>
      <c r="EP52" s="51">
        <f>SUM(M52,S52,Y52,AE52,AK52,AQ52,AW52,BC52,BI52,BO52,BU52,CA52,CG52,CS52,CY52,DE52,DK52,DQ52,EC52,EI52,CM52,DW52)/BULLETIN!$C$38*100</f>
        <v>0</v>
      </c>
      <c r="EQ52" s="52" t="str">
        <f t="shared" si="1"/>
        <v>10e</v>
      </c>
      <c r="ER52" s="51">
        <f>SUM(N52,T52,Z52,AF52,AL52,AR52,AX52,BD52,BJ52,BP52,BV52,CB52,CH52,CT52,CZ52,DF52,DL52,DR52,ED52,EJ52,CN52,DX52)/BULLETIN!$D$38*100</f>
        <v>0</v>
      </c>
      <c r="ES52" s="52" t="str">
        <f t="shared" si="2"/>
        <v>10e</v>
      </c>
      <c r="ET52" s="51">
        <f>SUM(L52:N52,R52:T52,X52:Z52,AD52:AF52,AJ52:AL52,AP52:AR52,AV52:AX52,BB52:BD52,BH52:BJ52,BN52:BP52,BT52:BV52,BZ52:CB52,CF52:CH52,CR52:CT52,CX52:CZ52,DD52:DF52,DJ52:DL52,DP52:DR52,EB52:ED52,EH52:EJ52,CL52:CN52,DV52:DX52)/BULLETIN!$E$38*100</f>
        <v>0</v>
      </c>
      <c r="EU52" s="52" t="str">
        <f t="shared" si="3"/>
        <v>10e</v>
      </c>
      <c r="EV52" s="51">
        <f>SUM(O52,U52,AA52,AG52,AM52,AS52,AY52,BE52,BK52,BQ52,BW52,CC52,CI52,CU52,DA52,DG52,DM52,DS52,EE52,EK52,CO52,DY52)/BULLETIN!$F$38*100</f>
        <v>0</v>
      </c>
      <c r="EW52" s="52" t="str">
        <f t="shared" si="4"/>
        <v>10e</v>
      </c>
      <c r="EX52" s="51">
        <f>SUM(P52,V52,AB52,AH52,AN52,AT52,AZ52,BF52,BL52,BR52,BX52,CD52,CJ52,CV52,DB52,DH52,DN52,DS52,EF52,EL52,CP52,DZ52)/BULLETIN!$G$38*100</f>
        <v>0</v>
      </c>
      <c r="EY52" s="52" t="str">
        <f t="shared" si="5"/>
        <v>10e</v>
      </c>
      <c r="EZ52" s="51">
        <f>SUM(Q52,W52,AC52,AI52,AO52,AU52,BA52,BG52,BM52,BS52,BY52,CE52,CK52,CW52,DC52,DI52,DO52,DU52,EG52,EM52,EA52,CQ52)/BULLETIN!$H$38*100</f>
        <v>0</v>
      </c>
      <c r="FA52" s="52" t="str">
        <f t="shared" si="6"/>
        <v>10e</v>
      </c>
      <c r="FB52" s="51">
        <f>SUM(O52:Q52,U52:W52,AA52:AC52,AG52:AI52,AM52:AO52,AS52:AU52,AY52:BA52,BE52:BG52,BK52:BM52,BQ52:BS52,BW52:BY52,CC52:CE52,CI52:CK52,CU52:CW52,DA52:DC52,DM52:DO52,DS52:DU52,EE52:EG52,EK52:EM52,DG52:DI52,CO52:CQ52,DY52:EA52)/BULLETIN!$I$38*100</f>
        <v>0</v>
      </c>
      <c r="FC52" s="52" t="str">
        <f t="shared" si="7"/>
        <v>10e</v>
      </c>
      <c r="FD52" s="51">
        <f>SUM(L52:EM52)/BULLETIN!$J$38*100</f>
        <v>0</v>
      </c>
      <c r="FE52" s="52" t="str">
        <f t="shared" si="8"/>
        <v>10e</v>
      </c>
    </row>
    <row r="53" spans="1:161" ht="15.5" x14ac:dyDescent="0.35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6"/>
      <c r="L53" s="8"/>
      <c r="M53" s="1"/>
      <c r="N53" s="1"/>
      <c r="O53" s="1"/>
      <c r="P53" s="1"/>
      <c r="Q53" s="9"/>
      <c r="R53" s="10"/>
      <c r="S53" s="1"/>
      <c r="T53" s="1"/>
      <c r="U53" s="1"/>
      <c r="V53" s="2"/>
      <c r="W53" s="18"/>
      <c r="X53" s="8"/>
      <c r="Y53" s="1"/>
      <c r="Z53" s="1"/>
      <c r="AA53" s="1"/>
      <c r="AB53" s="1"/>
      <c r="AC53" s="9"/>
      <c r="AD53" s="8"/>
      <c r="AE53" s="1"/>
      <c r="AF53" s="1"/>
      <c r="AG53" s="1"/>
      <c r="AH53" s="1"/>
      <c r="AI53" s="9"/>
      <c r="AJ53" s="10"/>
      <c r="AK53" s="1"/>
      <c r="AL53" s="1"/>
      <c r="AM53" s="1"/>
      <c r="AN53" s="2"/>
      <c r="AO53" s="18"/>
      <c r="AP53" s="8"/>
      <c r="AQ53" s="1"/>
      <c r="AR53" s="1"/>
      <c r="AS53" s="2"/>
      <c r="AT53" s="1"/>
      <c r="AU53" s="9"/>
      <c r="AV53" s="8"/>
      <c r="AW53" s="1"/>
      <c r="AX53" s="1"/>
      <c r="AY53" s="2"/>
      <c r="AZ53" s="1"/>
      <c r="BA53" s="9"/>
      <c r="BB53" s="10"/>
      <c r="BC53" s="1"/>
      <c r="BD53" s="1"/>
      <c r="BE53" s="1"/>
      <c r="BF53" s="2"/>
      <c r="BG53" s="1"/>
      <c r="BH53" s="10"/>
      <c r="BI53" s="1"/>
      <c r="BJ53" s="1"/>
      <c r="BK53" s="2"/>
      <c r="BL53" s="1"/>
      <c r="BM53" s="9"/>
      <c r="BN53" s="10"/>
      <c r="BO53" s="1"/>
      <c r="BP53" s="1"/>
      <c r="BQ53" s="1"/>
      <c r="BR53" s="2"/>
      <c r="BS53" s="18"/>
      <c r="BT53" s="8"/>
      <c r="BU53" s="1"/>
      <c r="BV53" s="1"/>
      <c r="BW53" s="2"/>
      <c r="BX53" s="1"/>
      <c r="BY53" s="9"/>
      <c r="BZ53" s="10"/>
      <c r="CA53" s="1"/>
      <c r="CB53" s="1"/>
      <c r="CC53" s="1"/>
      <c r="CD53" s="2"/>
      <c r="CE53" s="18"/>
      <c r="CF53" s="10"/>
      <c r="CG53" s="1"/>
      <c r="CH53" s="1"/>
      <c r="CI53" s="1"/>
      <c r="CJ53" s="2"/>
      <c r="CK53" s="18"/>
      <c r="CL53" s="10"/>
      <c r="CM53" s="1"/>
      <c r="CN53" s="1"/>
      <c r="CO53" s="1"/>
      <c r="CP53" s="2"/>
      <c r="CQ53" s="18"/>
      <c r="CR53" s="10"/>
      <c r="CS53" s="1"/>
      <c r="CT53" s="1"/>
      <c r="CU53" s="1"/>
      <c r="CV53" s="2"/>
      <c r="CW53" s="18"/>
      <c r="CX53" s="8"/>
      <c r="CY53" s="1"/>
      <c r="CZ53" s="1"/>
      <c r="DA53" s="1"/>
      <c r="DB53" s="2"/>
      <c r="DC53" s="18"/>
      <c r="DD53" s="8"/>
      <c r="DE53" s="1"/>
      <c r="DF53" s="1"/>
      <c r="DG53" s="1"/>
      <c r="DH53" s="1"/>
      <c r="DI53" s="2"/>
      <c r="DJ53" s="60"/>
      <c r="DK53" s="1"/>
      <c r="DL53" s="1"/>
      <c r="DM53" s="1"/>
      <c r="DN53" s="1"/>
      <c r="DO53" s="61"/>
      <c r="DP53" s="10"/>
      <c r="DQ53" s="1"/>
      <c r="DR53" s="1"/>
      <c r="DS53" s="1"/>
      <c r="DT53" s="1"/>
      <c r="DU53" s="61"/>
      <c r="DV53" s="60"/>
      <c r="DW53" s="1"/>
      <c r="DX53" s="1"/>
      <c r="DY53" s="1"/>
      <c r="DZ53" s="1"/>
      <c r="EA53" s="61"/>
      <c r="EB53" s="10"/>
      <c r="EC53" s="1"/>
      <c r="ED53" s="1"/>
      <c r="EE53" s="1"/>
      <c r="EF53" s="1"/>
      <c r="EG53" s="61"/>
      <c r="EH53" s="10"/>
      <c r="EI53" s="1"/>
      <c r="EJ53" s="1"/>
      <c r="EK53" s="1"/>
      <c r="EL53" s="2"/>
      <c r="EM53" s="1"/>
      <c r="EN53" s="51">
        <f>SUM(L53,R53,X53,AD53,AJ53,AP53,AV53,BB53,BH53,BN53,BT53,BZ53,CF53,CL53,CR53,CX53,DD53,DJ53,DP53,DV53,EB53,EH53)/BULLETIN!$B$38*100</f>
        <v>0</v>
      </c>
      <c r="EO53" s="52" t="str">
        <f t="shared" si="0"/>
        <v>10e</v>
      </c>
      <c r="EP53" s="51">
        <f>SUM(M53,S53,Y53,AE53,AK53,AQ53,AW53,BC53,BI53,BO53,BU53,CA53,CG53,CS53,CY53,DE53,DK53,DQ53,EC53,EI53,CM53,DW53)/BULLETIN!$C$38*100</f>
        <v>0</v>
      </c>
      <c r="EQ53" s="52" t="str">
        <f t="shared" si="1"/>
        <v>10e</v>
      </c>
      <c r="ER53" s="51">
        <f>SUM(N53,T53,Z53,AF53,AL53,AR53,AX53,BD53,BJ53,BP53,BV53,CB53,CH53,CT53,CZ53,DF53,DL53,DR53,ED53,EJ53,CN53,DX53)/BULLETIN!$D$38*100</f>
        <v>0</v>
      </c>
      <c r="ES53" s="52" t="str">
        <f t="shared" si="2"/>
        <v>10e</v>
      </c>
      <c r="ET53" s="51">
        <f>SUM(L53:N53,R53:T53,X53:Z53,AD53:AF53,AJ53:AL53,AP53:AR53,AV53:AX53,BB53:BD53,BH53:BJ53,BN53:BP53,BT53:BV53,BZ53:CB53,CF53:CH53,CR53:CT53,CX53:CZ53,DD53:DF53,DJ53:DL53,DP53:DR53,EB53:ED53,EH53:EJ53,CL53:CN53,DV53:DX53)/BULLETIN!$E$38*100</f>
        <v>0</v>
      </c>
      <c r="EU53" s="52" t="str">
        <f t="shared" si="3"/>
        <v>10e</v>
      </c>
      <c r="EV53" s="51">
        <f>SUM(O53,U53,AA53,AG53,AM53,AS53,AY53,BE53,BK53,BQ53,BW53,CC53,CI53,CU53,DA53,DG53,DM53,DS53,EE53,EK53,CO53,DY53)/BULLETIN!$F$38*100</f>
        <v>0</v>
      </c>
      <c r="EW53" s="52" t="str">
        <f t="shared" si="4"/>
        <v>10e</v>
      </c>
      <c r="EX53" s="51">
        <f>SUM(P53,V53,AB53,AH53,AN53,AT53,AZ53,BF53,BL53,BR53,BX53,CD53,CJ53,CV53,DB53,DH53,DN53,DS53,EF53,EL53,CP53,DZ53)/BULLETIN!$G$38*100</f>
        <v>0</v>
      </c>
      <c r="EY53" s="52" t="str">
        <f t="shared" si="5"/>
        <v>10e</v>
      </c>
      <c r="EZ53" s="51">
        <f>SUM(Q53,W53,AC53,AI53,AO53,AU53,BA53,BG53,BM53,BS53,BY53,CE53,CK53,CW53,DC53,DI53,DO53,DU53,EG53,EM53,EA53,CQ53)/BULLETIN!$H$38*100</f>
        <v>0</v>
      </c>
      <c r="FA53" s="52" t="str">
        <f t="shared" si="6"/>
        <v>10e</v>
      </c>
      <c r="FB53" s="51">
        <f>SUM(O53:Q53,U53:W53,AA53:AC53,AG53:AI53,AM53:AO53,AS53:AU53,AY53:BA53,BE53:BG53,BK53:BM53,BQ53:BS53,BW53:BY53,CC53:CE53,CI53:CK53,CU53:CW53,DA53:DC53,DM53:DO53,DS53:DU53,EE53:EG53,EK53:EM53,DG53:DI53,CO53:CQ53,DY53:EA53)/BULLETIN!$I$38*100</f>
        <v>0</v>
      </c>
      <c r="FC53" s="52" t="str">
        <f t="shared" si="7"/>
        <v>10e</v>
      </c>
      <c r="FD53" s="51">
        <f>SUM(L53:EM53)/BULLETIN!$J$38*100</f>
        <v>0</v>
      </c>
      <c r="FE53" s="52" t="str">
        <f t="shared" si="8"/>
        <v>10e</v>
      </c>
    </row>
    <row r="54" spans="1:161" ht="15.5" x14ac:dyDescent="0.35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6"/>
      <c r="L54" s="8"/>
      <c r="M54" s="1"/>
      <c r="N54" s="1"/>
      <c r="O54" s="1"/>
      <c r="P54" s="1"/>
      <c r="Q54" s="9"/>
      <c r="R54" s="10"/>
      <c r="S54" s="1"/>
      <c r="T54" s="1"/>
      <c r="U54" s="1"/>
      <c r="V54" s="2"/>
      <c r="W54" s="18"/>
      <c r="X54" s="8"/>
      <c r="Y54" s="1"/>
      <c r="Z54" s="1"/>
      <c r="AA54" s="1"/>
      <c r="AB54" s="1"/>
      <c r="AC54" s="9"/>
      <c r="AD54" s="8"/>
      <c r="AE54" s="1"/>
      <c r="AF54" s="1"/>
      <c r="AG54" s="1"/>
      <c r="AH54" s="1"/>
      <c r="AI54" s="9"/>
      <c r="AJ54" s="10"/>
      <c r="AK54" s="1"/>
      <c r="AL54" s="1"/>
      <c r="AM54" s="1"/>
      <c r="AN54" s="2"/>
      <c r="AO54" s="18"/>
      <c r="AP54" s="8"/>
      <c r="AQ54" s="1"/>
      <c r="AR54" s="1"/>
      <c r="AS54" s="2"/>
      <c r="AT54" s="1"/>
      <c r="AU54" s="9"/>
      <c r="AV54" s="8"/>
      <c r="AW54" s="1"/>
      <c r="AX54" s="1"/>
      <c r="AY54" s="2"/>
      <c r="AZ54" s="1"/>
      <c r="BA54" s="9"/>
      <c r="BB54" s="10"/>
      <c r="BC54" s="1"/>
      <c r="BD54" s="1"/>
      <c r="BE54" s="1"/>
      <c r="BF54" s="2"/>
      <c r="BG54" s="1"/>
      <c r="BH54" s="10"/>
      <c r="BI54" s="1"/>
      <c r="BJ54" s="1"/>
      <c r="BK54" s="2"/>
      <c r="BL54" s="1"/>
      <c r="BM54" s="9"/>
      <c r="BN54" s="10"/>
      <c r="BO54" s="1"/>
      <c r="BP54" s="1"/>
      <c r="BQ54" s="1"/>
      <c r="BR54" s="2"/>
      <c r="BS54" s="18"/>
      <c r="BT54" s="8"/>
      <c r="BU54" s="1"/>
      <c r="BV54" s="1"/>
      <c r="BW54" s="2"/>
      <c r="BX54" s="1"/>
      <c r="BY54" s="9"/>
      <c r="BZ54" s="10"/>
      <c r="CA54" s="1"/>
      <c r="CB54" s="1"/>
      <c r="CC54" s="1"/>
      <c r="CD54" s="2"/>
      <c r="CE54" s="18"/>
      <c r="CF54" s="10"/>
      <c r="CG54" s="1"/>
      <c r="CH54" s="1"/>
      <c r="CI54" s="1"/>
      <c r="CJ54" s="2"/>
      <c r="CK54" s="18"/>
      <c r="CL54" s="10"/>
      <c r="CM54" s="1"/>
      <c r="CN54" s="1"/>
      <c r="CO54" s="1"/>
      <c r="CP54" s="2"/>
      <c r="CQ54" s="18"/>
      <c r="CR54" s="10"/>
      <c r="CS54" s="1"/>
      <c r="CT54" s="1"/>
      <c r="CU54" s="1"/>
      <c r="CV54" s="2"/>
      <c r="CW54" s="18"/>
      <c r="CX54" s="8"/>
      <c r="CY54" s="1"/>
      <c r="CZ54" s="1"/>
      <c r="DA54" s="1"/>
      <c r="DB54" s="2"/>
      <c r="DC54" s="18"/>
      <c r="DD54" s="8"/>
      <c r="DE54" s="1"/>
      <c r="DF54" s="1"/>
      <c r="DG54" s="1"/>
      <c r="DH54" s="1"/>
      <c r="DI54" s="2"/>
      <c r="DJ54" s="60"/>
      <c r="DK54" s="1"/>
      <c r="DL54" s="1"/>
      <c r="DM54" s="1"/>
      <c r="DN54" s="1"/>
      <c r="DO54" s="61"/>
      <c r="DP54" s="10"/>
      <c r="DQ54" s="1"/>
      <c r="DR54" s="1"/>
      <c r="DS54" s="1"/>
      <c r="DT54" s="1"/>
      <c r="DU54" s="61"/>
      <c r="DV54" s="60"/>
      <c r="DW54" s="1"/>
      <c r="DX54" s="1"/>
      <c r="DY54" s="1"/>
      <c r="DZ54" s="1"/>
      <c r="EA54" s="61"/>
      <c r="EB54" s="10"/>
      <c r="EC54" s="1"/>
      <c r="ED54" s="1"/>
      <c r="EE54" s="1"/>
      <c r="EF54" s="1"/>
      <c r="EG54" s="61"/>
      <c r="EH54" s="10"/>
      <c r="EI54" s="1"/>
      <c r="EJ54" s="1"/>
      <c r="EK54" s="1"/>
      <c r="EL54" s="2"/>
      <c r="EM54" s="1"/>
      <c r="EN54" s="51">
        <f>SUM(L54,R54,X54,AD54,AJ54,AP54,AV54,BB54,BH54,BN54,BT54,BZ54,CF54,CL54,CR54,CX54,DD54,DJ54,DP54,DV54,EB54,EH54)/BULLETIN!$B$38*100</f>
        <v>0</v>
      </c>
      <c r="EO54" s="52" t="str">
        <f t="shared" si="0"/>
        <v>10e</v>
      </c>
      <c r="EP54" s="51">
        <f>SUM(M54,S54,Y54,AE54,AK54,AQ54,AW54,BC54,BI54,BO54,BU54,CA54,CG54,CS54,CY54,DE54,DK54,DQ54,EC54,EI54,CM54,DW54)/BULLETIN!$C$38*100</f>
        <v>0</v>
      </c>
      <c r="EQ54" s="52" t="str">
        <f t="shared" si="1"/>
        <v>10e</v>
      </c>
      <c r="ER54" s="51">
        <f>SUM(N54,T54,Z54,AF54,AL54,AR54,AX54,BD54,BJ54,BP54,BV54,CB54,CH54,CT54,CZ54,DF54,DL54,DR54,ED54,EJ54,CN54,DX54)/BULLETIN!$D$38*100</f>
        <v>0</v>
      </c>
      <c r="ES54" s="52" t="str">
        <f t="shared" si="2"/>
        <v>10e</v>
      </c>
      <c r="ET54" s="51">
        <f>SUM(L54:N54,R54:T54,X54:Z54,AD54:AF54,AJ54:AL54,AP54:AR54,AV54:AX54,BB54:BD54,BH54:BJ54,BN54:BP54,BT54:BV54,BZ54:CB54,CF54:CH54,CR54:CT54,CX54:CZ54,DD54:DF54,DJ54:DL54,DP54:DR54,EB54:ED54,EH54:EJ54,CL54:CN54,DV54:DX54)/BULLETIN!$E$38*100</f>
        <v>0</v>
      </c>
      <c r="EU54" s="52" t="str">
        <f t="shared" si="3"/>
        <v>10e</v>
      </c>
      <c r="EV54" s="51">
        <f>SUM(O54,U54,AA54,AG54,AM54,AS54,AY54,BE54,BK54,BQ54,BW54,CC54,CI54,CU54,DA54,DG54,DM54,DS54,EE54,EK54,CO54,DY54)/BULLETIN!$F$38*100</f>
        <v>0</v>
      </c>
      <c r="EW54" s="52" t="str">
        <f t="shared" si="4"/>
        <v>10e</v>
      </c>
      <c r="EX54" s="51">
        <f>SUM(P54,V54,AB54,AH54,AN54,AT54,AZ54,BF54,BL54,BR54,BX54,CD54,CJ54,CV54,DB54,DH54,DN54,DS54,EF54,EL54,CP54,DZ54)/BULLETIN!$G$38*100</f>
        <v>0</v>
      </c>
      <c r="EY54" s="52" t="str">
        <f t="shared" si="5"/>
        <v>10e</v>
      </c>
      <c r="EZ54" s="51">
        <f>SUM(Q54,W54,AC54,AI54,AO54,AU54,BA54,BG54,BM54,BS54,BY54,CE54,CK54,CW54,DC54,DI54,DO54,DU54,EG54,EM54,EA54,CQ54)/BULLETIN!$H$38*100</f>
        <v>0</v>
      </c>
      <c r="FA54" s="52" t="str">
        <f t="shared" si="6"/>
        <v>10e</v>
      </c>
      <c r="FB54" s="51">
        <f>SUM(O54:Q54,U54:W54,AA54:AC54,AG54:AI54,AM54:AO54,AS54:AU54,AY54:BA54,BE54:BG54,BK54:BM54,BQ54:BS54,BW54:BY54,CC54:CE54,CI54:CK54,CU54:CW54,DA54:DC54,DM54:DO54,DS54:DU54,EE54:EG54,EK54:EM54,DG54:DI54,CO54:CQ54,DY54:EA54)/BULLETIN!$I$38*100</f>
        <v>0</v>
      </c>
      <c r="FC54" s="52" t="str">
        <f t="shared" si="7"/>
        <v>10e</v>
      </c>
      <c r="FD54" s="51">
        <f>SUM(L54:EM54)/BULLETIN!$J$38*100</f>
        <v>0</v>
      </c>
      <c r="FE54" s="52" t="str">
        <f t="shared" si="8"/>
        <v>10e</v>
      </c>
    </row>
    <row r="55" spans="1:161" ht="15.5" x14ac:dyDescent="0.35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6"/>
      <c r="L55" s="8"/>
      <c r="M55" s="1"/>
      <c r="N55" s="1"/>
      <c r="O55" s="1"/>
      <c r="P55" s="1"/>
      <c r="Q55" s="9"/>
      <c r="R55" s="10"/>
      <c r="S55" s="1"/>
      <c r="T55" s="1"/>
      <c r="U55" s="1"/>
      <c r="V55" s="2"/>
      <c r="W55" s="18"/>
      <c r="X55" s="8"/>
      <c r="Y55" s="1"/>
      <c r="Z55" s="1"/>
      <c r="AA55" s="1"/>
      <c r="AB55" s="1"/>
      <c r="AC55" s="9"/>
      <c r="AD55" s="8"/>
      <c r="AE55" s="1"/>
      <c r="AF55" s="1"/>
      <c r="AG55" s="1"/>
      <c r="AH55" s="1"/>
      <c r="AI55" s="9"/>
      <c r="AJ55" s="10"/>
      <c r="AK55" s="1"/>
      <c r="AL55" s="1"/>
      <c r="AM55" s="1"/>
      <c r="AN55" s="2"/>
      <c r="AO55" s="18"/>
      <c r="AP55" s="8"/>
      <c r="AQ55" s="1"/>
      <c r="AR55" s="1"/>
      <c r="AS55" s="2"/>
      <c r="AT55" s="1"/>
      <c r="AU55" s="9"/>
      <c r="AV55" s="8"/>
      <c r="AW55" s="1"/>
      <c r="AX55" s="1"/>
      <c r="AY55" s="2"/>
      <c r="AZ55" s="1"/>
      <c r="BA55" s="9"/>
      <c r="BB55" s="10"/>
      <c r="BC55" s="1"/>
      <c r="BD55" s="1"/>
      <c r="BE55" s="1"/>
      <c r="BF55" s="2"/>
      <c r="BG55" s="1"/>
      <c r="BH55" s="10"/>
      <c r="BI55" s="1"/>
      <c r="BJ55" s="1"/>
      <c r="BK55" s="2"/>
      <c r="BL55" s="1"/>
      <c r="BM55" s="9"/>
      <c r="BN55" s="10"/>
      <c r="BO55" s="1"/>
      <c r="BP55" s="1"/>
      <c r="BQ55" s="1"/>
      <c r="BR55" s="2"/>
      <c r="BS55" s="18"/>
      <c r="BT55" s="8"/>
      <c r="BU55" s="1"/>
      <c r="BV55" s="1"/>
      <c r="BW55" s="2"/>
      <c r="BX55" s="1"/>
      <c r="BY55" s="9"/>
      <c r="BZ55" s="10"/>
      <c r="CA55" s="1"/>
      <c r="CB55" s="1"/>
      <c r="CC55" s="1"/>
      <c r="CD55" s="2"/>
      <c r="CE55" s="18"/>
      <c r="CF55" s="10"/>
      <c r="CG55" s="1"/>
      <c r="CH55" s="1"/>
      <c r="CI55" s="1"/>
      <c r="CJ55" s="2"/>
      <c r="CK55" s="18"/>
      <c r="CL55" s="10"/>
      <c r="CM55" s="1"/>
      <c r="CN55" s="1"/>
      <c r="CO55" s="1"/>
      <c r="CP55" s="2"/>
      <c r="CQ55" s="18"/>
      <c r="CR55" s="10"/>
      <c r="CS55" s="1"/>
      <c r="CT55" s="1"/>
      <c r="CU55" s="1"/>
      <c r="CV55" s="2"/>
      <c r="CW55" s="18"/>
      <c r="CX55" s="8"/>
      <c r="CY55" s="1"/>
      <c r="CZ55" s="1"/>
      <c r="DA55" s="1"/>
      <c r="DB55" s="2"/>
      <c r="DC55" s="18"/>
      <c r="DD55" s="8"/>
      <c r="DE55" s="1"/>
      <c r="DF55" s="1"/>
      <c r="DG55" s="1"/>
      <c r="DH55" s="1"/>
      <c r="DI55" s="2"/>
      <c r="DJ55" s="60"/>
      <c r="DK55" s="1"/>
      <c r="DL55" s="1"/>
      <c r="DM55" s="1"/>
      <c r="DN55" s="1"/>
      <c r="DO55" s="61"/>
      <c r="DP55" s="10"/>
      <c r="DQ55" s="1"/>
      <c r="DR55" s="1"/>
      <c r="DS55" s="1"/>
      <c r="DT55" s="1"/>
      <c r="DU55" s="61"/>
      <c r="DV55" s="60"/>
      <c r="DW55" s="1"/>
      <c r="DX55" s="1"/>
      <c r="DY55" s="1"/>
      <c r="DZ55" s="1"/>
      <c r="EA55" s="61"/>
      <c r="EB55" s="10"/>
      <c r="EC55" s="1"/>
      <c r="ED55" s="1"/>
      <c r="EE55" s="1"/>
      <c r="EF55" s="1"/>
      <c r="EG55" s="61"/>
      <c r="EH55" s="10"/>
      <c r="EI55" s="1"/>
      <c r="EJ55" s="1"/>
      <c r="EK55" s="1"/>
      <c r="EL55" s="2"/>
      <c r="EM55" s="1"/>
      <c r="EN55" s="51">
        <f>SUM(L55,R55,X55,AD55,AJ55,AP55,AV55,BB55,BH55,BN55,BT55,BZ55,CF55,CL55,CR55,CX55,DD55,DJ55,DP55,DV55,EB55,EH55)/BULLETIN!$B$38*100</f>
        <v>0</v>
      </c>
      <c r="EO55" s="52" t="str">
        <f t="shared" si="0"/>
        <v>10e</v>
      </c>
      <c r="EP55" s="51">
        <f>SUM(M55,S55,Y55,AE55,AK55,AQ55,AW55,BC55,BI55,BO55,BU55,CA55,CG55,CS55,CY55,DE55,DK55,DQ55,EC55,EI55,CM55,DW55)/BULLETIN!$C$38*100</f>
        <v>0</v>
      </c>
      <c r="EQ55" s="52" t="str">
        <f t="shared" si="1"/>
        <v>10e</v>
      </c>
      <c r="ER55" s="51">
        <f>SUM(N55,T55,Z55,AF55,AL55,AR55,AX55,BD55,BJ55,BP55,BV55,CB55,CH55,CT55,CZ55,DF55,DL55,DR55,ED55,EJ55,CN55,DX55)/BULLETIN!$D$38*100</f>
        <v>0</v>
      </c>
      <c r="ES55" s="52" t="str">
        <f t="shared" si="2"/>
        <v>10e</v>
      </c>
      <c r="ET55" s="51">
        <f>SUM(L55:N55,R55:T55,X55:Z55,AD55:AF55,AJ55:AL55,AP55:AR55,AV55:AX55,BB55:BD55,BH55:BJ55,BN55:BP55,BT55:BV55,BZ55:CB55,CF55:CH55,CR55:CT55,CX55:CZ55,DD55:DF55,DJ55:DL55,DP55:DR55,EB55:ED55,EH55:EJ55,CL55:CN55,DV55:DX55)/BULLETIN!$E$38*100</f>
        <v>0</v>
      </c>
      <c r="EU55" s="52" t="str">
        <f t="shared" si="3"/>
        <v>10e</v>
      </c>
      <c r="EV55" s="51">
        <f>SUM(O55,U55,AA55,AG55,AM55,AS55,AY55,BE55,BK55,BQ55,BW55,CC55,CI55,CU55,DA55,DG55,DM55,DS55,EE55,EK55,CO55,DY55)/BULLETIN!$F$38*100</f>
        <v>0</v>
      </c>
      <c r="EW55" s="52" t="str">
        <f t="shared" si="4"/>
        <v>10e</v>
      </c>
      <c r="EX55" s="51">
        <f>SUM(P55,V55,AB55,AH55,AN55,AT55,AZ55,BF55,BL55,BR55,BX55,CD55,CJ55,CV55,DB55,DH55,DN55,DS55,EF55,EL55,CP55,DZ55)/BULLETIN!$G$38*100</f>
        <v>0</v>
      </c>
      <c r="EY55" s="52" t="str">
        <f t="shared" si="5"/>
        <v>10e</v>
      </c>
      <c r="EZ55" s="51">
        <f>SUM(Q55,W55,AC55,AI55,AO55,AU55,BA55,BG55,BM55,BS55,BY55,CE55,CK55,CW55,DC55,DI55,DO55,DU55,EG55,EM55,EA55,CQ55)/BULLETIN!$H$38*100</f>
        <v>0</v>
      </c>
      <c r="FA55" s="52" t="str">
        <f t="shared" si="6"/>
        <v>10e</v>
      </c>
      <c r="FB55" s="51">
        <f>SUM(O55:Q55,U55:W55,AA55:AC55,AG55:AI55,AM55:AO55,AS55:AU55,AY55:BA55,BE55:BG55,BK55:BM55,BQ55:BS55,BW55:BY55,CC55:CE55,CI55:CK55,CU55:CW55,DA55:DC55,DM55:DO55,DS55:DU55,EE55:EG55,EK55:EM55,DG55:DI55,CO55:CQ55,DY55:EA55)/BULLETIN!$I$38*100</f>
        <v>0</v>
      </c>
      <c r="FC55" s="52" t="str">
        <f t="shared" si="7"/>
        <v>10e</v>
      </c>
      <c r="FD55" s="51">
        <f>SUM(L55:EM55)/BULLETIN!$J$38*100</f>
        <v>0</v>
      </c>
      <c r="FE55" s="52" t="str">
        <f t="shared" si="8"/>
        <v>10e</v>
      </c>
    </row>
    <row r="56" spans="1:161" ht="15.5" x14ac:dyDescent="0.35">
      <c r="A56" s="13"/>
      <c r="B56" s="14"/>
      <c r="C56" s="14"/>
      <c r="D56" s="14"/>
      <c r="E56" s="14"/>
      <c r="F56" s="14"/>
      <c r="G56" s="14"/>
      <c r="H56" s="14"/>
      <c r="I56" s="14"/>
      <c r="J56" s="14"/>
      <c r="K56" s="16"/>
      <c r="L56" s="8"/>
      <c r="M56" s="1"/>
      <c r="N56" s="1"/>
      <c r="O56" s="1"/>
      <c r="P56" s="1"/>
      <c r="Q56" s="9"/>
      <c r="R56" s="10"/>
      <c r="S56" s="1"/>
      <c r="T56" s="1"/>
      <c r="U56" s="1"/>
      <c r="V56" s="2"/>
      <c r="W56" s="18"/>
      <c r="X56" s="8"/>
      <c r="Y56" s="1"/>
      <c r="Z56" s="1"/>
      <c r="AA56" s="1"/>
      <c r="AB56" s="1"/>
      <c r="AC56" s="9"/>
      <c r="AD56" s="8"/>
      <c r="AE56" s="1"/>
      <c r="AF56" s="1"/>
      <c r="AG56" s="1"/>
      <c r="AH56" s="1"/>
      <c r="AI56" s="9"/>
      <c r="AJ56" s="10"/>
      <c r="AK56" s="1"/>
      <c r="AL56" s="1"/>
      <c r="AM56" s="1"/>
      <c r="AN56" s="2"/>
      <c r="AO56" s="18"/>
      <c r="AP56" s="8"/>
      <c r="AQ56" s="1"/>
      <c r="AR56" s="1"/>
      <c r="AS56" s="2"/>
      <c r="AT56" s="1"/>
      <c r="AU56" s="9"/>
      <c r="AV56" s="8"/>
      <c r="AW56" s="1"/>
      <c r="AX56" s="1"/>
      <c r="AY56" s="2"/>
      <c r="AZ56" s="1"/>
      <c r="BA56" s="9"/>
      <c r="BB56" s="10"/>
      <c r="BC56" s="1"/>
      <c r="BD56" s="1"/>
      <c r="BE56" s="1"/>
      <c r="BF56" s="2"/>
      <c r="BG56" s="1"/>
      <c r="BH56" s="10"/>
      <c r="BI56" s="1"/>
      <c r="BJ56" s="1"/>
      <c r="BK56" s="2"/>
      <c r="BL56" s="1"/>
      <c r="BM56" s="9"/>
      <c r="BN56" s="10"/>
      <c r="BO56" s="1"/>
      <c r="BP56" s="1"/>
      <c r="BQ56" s="1"/>
      <c r="BR56" s="2"/>
      <c r="BS56" s="18"/>
      <c r="BT56" s="8"/>
      <c r="BU56" s="1"/>
      <c r="BV56" s="1"/>
      <c r="BW56" s="2"/>
      <c r="BX56" s="1"/>
      <c r="BY56" s="9"/>
      <c r="BZ56" s="10"/>
      <c r="CA56" s="1"/>
      <c r="CB56" s="1"/>
      <c r="CC56" s="1"/>
      <c r="CD56" s="2"/>
      <c r="CE56" s="18"/>
      <c r="CF56" s="10"/>
      <c r="CG56" s="1"/>
      <c r="CH56" s="1"/>
      <c r="CI56" s="1"/>
      <c r="CJ56" s="2"/>
      <c r="CK56" s="18"/>
      <c r="CL56" s="10"/>
      <c r="CM56" s="1"/>
      <c r="CN56" s="1"/>
      <c r="CO56" s="1"/>
      <c r="CP56" s="2"/>
      <c r="CQ56" s="18"/>
      <c r="CR56" s="10"/>
      <c r="CS56" s="1"/>
      <c r="CT56" s="1"/>
      <c r="CU56" s="1"/>
      <c r="CV56" s="2"/>
      <c r="CW56" s="18"/>
      <c r="CX56" s="8"/>
      <c r="CY56" s="1"/>
      <c r="CZ56" s="1"/>
      <c r="DA56" s="1"/>
      <c r="DB56" s="2"/>
      <c r="DC56" s="18"/>
      <c r="DD56" s="8"/>
      <c r="DE56" s="1"/>
      <c r="DF56" s="1"/>
      <c r="DG56" s="1"/>
      <c r="DH56" s="1"/>
      <c r="DI56" s="2"/>
      <c r="DJ56" s="60"/>
      <c r="DK56" s="1"/>
      <c r="DL56" s="1"/>
      <c r="DM56" s="1"/>
      <c r="DN56" s="1"/>
      <c r="DO56" s="61"/>
      <c r="DP56" s="10"/>
      <c r="DQ56" s="1"/>
      <c r="DR56" s="1"/>
      <c r="DS56" s="1"/>
      <c r="DT56" s="1"/>
      <c r="DU56" s="61"/>
      <c r="DV56" s="60"/>
      <c r="DW56" s="1"/>
      <c r="DX56" s="1"/>
      <c r="DY56" s="1"/>
      <c r="DZ56" s="1"/>
      <c r="EA56" s="61"/>
      <c r="EB56" s="10"/>
      <c r="EC56" s="1"/>
      <c r="ED56" s="1"/>
      <c r="EE56" s="1"/>
      <c r="EF56" s="1"/>
      <c r="EG56" s="61"/>
      <c r="EH56" s="10"/>
      <c r="EI56" s="1"/>
      <c r="EJ56" s="1"/>
      <c r="EK56" s="1"/>
      <c r="EL56" s="2"/>
      <c r="EM56" s="1"/>
      <c r="EN56" s="51">
        <f>SUM(L56,R56,X56,AD56,AJ56,AP56,AV56,BB56,BH56,BN56,BT56,BZ56,CF56,CL56,CR56,CX56,DD56,DJ56,DP56,DV56,EB56,EH56)/BULLETIN!$B$38*100</f>
        <v>0</v>
      </c>
      <c r="EO56" s="52" t="str">
        <f t="shared" si="0"/>
        <v>10e</v>
      </c>
      <c r="EP56" s="51">
        <f>SUM(M56,S56,Y56,AE56,AK56,AQ56,AW56,BC56,BI56,BO56,BU56,CA56,CG56,CS56,CY56,DE56,DK56,DQ56,EC56,EI56,CM56,DW56)/BULLETIN!$C$38*100</f>
        <v>0</v>
      </c>
      <c r="EQ56" s="52" t="str">
        <f t="shared" si="1"/>
        <v>10e</v>
      </c>
      <c r="ER56" s="51">
        <f>SUM(N56,T56,Z56,AF56,AL56,AR56,AX56,BD56,BJ56,BP56,BV56,CB56,CH56,CT56,CZ56,DF56,DL56,DR56,ED56,EJ56,CN56,DX56)/BULLETIN!$D$38*100</f>
        <v>0</v>
      </c>
      <c r="ES56" s="52" t="str">
        <f t="shared" si="2"/>
        <v>10e</v>
      </c>
      <c r="ET56" s="51">
        <f>SUM(L56:N56,R56:T56,X56:Z56,AD56:AF56,AJ56:AL56,AP56:AR56,AV56:AX56,BB56:BD56,BH56:BJ56,BN56:BP56,BT56:BV56,BZ56:CB56,CF56:CH56,CR56:CT56,CX56:CZ56,DD56:DF56,DJ56:DL56,DP56:DR56,EB56:ED56,EH56:EJ56,CL56:CN56,DV56:DX56)/BULLETIN!$E$38*100</f>
        <v>0</v>
      </c>
      <c r="EU56" s="52" t="str">
        <f t="shared" si="3"/>
        <v>10e</v>
      </c>
      <c r="EV56" s="51">
        <f>SUM(O56,U56,AA56,AG56,AM56,AS56,AY56,BE56,BK56,BQ56,BW56,CC56,CI56,CU56,DA56,DG56,DM56,DS56,EE56,EK56,CO56,DY56)/BULLETIN!$F$38*100</f>
        <v>0</v>
      </c>
      <c r="EW56" s="52" t="str">
        <f t="shared" si="4"/>
        <v>10e</v>
      </c>
      <c r="EX56" s="51">
        <f>SUM(P56,V56,AB56,AH56,AN56,AT56,AZ56,BF56,BL56,BR56,BX56,CD56,CJ56,CV56,DB56,DH56,DN56,DS56,EF56,EL56,CP56,DZ56)/BULLETIN!$G$38*100</f>
        <v>0</v>
      </c>
      <c r="EY56" s="52" t="str">
        <f t="shared" si="5"/>
        <v>10e</v>
      </c>
      <c r="EZ56" s="51">
        <f>SUM(Q56,W56,AC56,AI56,AO56,AU56,BA56,BG56,BM56,BS56,BY56,CE56,CK56,CW56,DC56,DI56,DO56,DU56,EG56,EM56,EA56,CQ56)/BULLETIN!$H$38*100</f>
        <v>0</v>
      </c>
      <c r="FA56" s="52" t="str">
        <f t="shared" si="6"/>
        <v>10e</v>
      </c>
      <c r="FB56" s="51">
        <f>SUM(O56:Q56,U56:W56,AA56:AC56,AG56:AI56,AM56:AO56,AS56:AU56,AY56:BA56,BE56:BG56,BK56:BM56,BQ56:BS56,BW56:BY56,CC56:CE56,CI56:CK56,CU56:CW56,DA56:DC56,DM56:DO56,DS56:DU56,EE56:EG56,EK56:EM56,DG56:DI56,CO56:CQ56,DY56:EA56)/BULLETIN!$I$38*100</f>
        <v>0</v>
      </c>
      <c r="FC56" s="52" t="str">
        <f t="shared" si="7"/>
        <v>10e</v>
      </c>
      <c r="FD56" s="51">
        <f>SUM(L56:EM56)/BULLETIN!$J$38*100</f>
        <v>0</v>
      </c>
      <c r="FE56" s="52" t="str">
        <f t="shared" si="8"/>
        <v>10e</v>
      </c>
    </row>
    <row r="57" spans="1:161" ht="15.5" x14ac:dyDescent="0.35">
      <c r="A57" s="13"/>
      <c r="B57" s="14"/>
      <c r="C57" s="14"/>
      <c r="D57" s="14"/>
      <c r="E57" s="14"/>
      <c r="F57" s="14"/>
      <c r="G57" s="14"/>
      <c r="H57" s="14"/>
      <c r="I57" s="14"/>
      <c r="J57" s="14"/>
      <c r="K57" s="16"/>
      <c r="L57" s="8"/>
      <c r="M57" s="1"/>
      <c r="N57" s="1"/>
      <c r="O57" s="1"/>
      <c r="P57" s="1"/>
      <c r="Q57" s="9"/>
      <c r="R57" s="10"/>
      <c r="S57" s="1"/>
      <c r="T57" s="1"/>
      <c r="U57" s="1"/>
      <c r="V57" s="2"/>
      <c r="W57" s="18"/>
      <c r="X57" s="8"/>
      <c r="Y57" s="1"/>
      <c r="Z57" s="1"/>
      <c r="AA57" s="1"/>
      <c r="AB57" s="1"/>
      <c r="AC57" s="9"/>
      <c r="AD57" s="8"/>
      <c r="AE57" s="1"/>
      <c r="AF57" s="1"/>
      <c r="AG57" s="1"/>
      <c r="AH57" s="1"/>
      <c r="AI57" s="9"/>
      <c r="AJ57" s="10"/>
      <c r="AK57" s="1"/>
      <c r="AL57" s="1"/>
      <c r="AM57" s="1"/>
      <c r="AN57" s="2"/>
      <c r="AO57" s="18"/>
      <c r="AP57" s="8"/>
      <c r="AQ57" s="1"/>
      <c r="AR57" s="1"/>
      <c r="AS57" s="2"/>
      <c r="AT57" s="1"/>
      <c r="AU57" s="9"/>
      <c r="AV57" s="8"/>
      <c r="AW57" s="1"/>
      <c r="AX57" s="1"/>
      <c r="AY57" s="2"/>
      <c r="AZ57" s="1"/>
      <c r="BA57" s="9"/>
      <c r="BB57" s="10"/>
      <c r="BC57" s="1"/>
      <c r="BD57" s="1"/>
      <c r="BE57" s="1"/>
      <c r="BF57" s="2"/>
      <c r="BG57" s="1"/>
      <c r="BH57" s="10"/>
      <c r="BI57" s="1"/>
      <c r="BJ57" s="1"/>
      <c r="BK57" s="2"/>
      <c r="BL57" s="1"/>
      <c r="BM57" s="9"/>
      <c r="BN57" s="10"/>
      <c r="BO57" s="1"/>
      <c r="BP57" s="1"/>
      <c r="BQ57" s="1"/>
      <c r="BR57" s="2"/>
      <c r="BS57" s="18"/>
      <c r="BT57" s="8"/>
      <c r="BU57" s="1"/>
      <c r="BV57" s="1"/>
      <c r="BW57" s="2"/>
      <c r="BX57" s="1"/>
      <c r="BY57" s="9"/>
      <c r="BZ57" s="10"/>
      <c r="CA57" s="1"/>
      <c r="CB57" s="1"/>
      <c r="CC57" s="1"/>
      <c r="CD57" s="2"/>
      <c r="CE57" s="18"/>
      <c r="CF57" s="10"/>
      <c r="CG57" s="1"/>
      <c r="CH57" s="1"/>
      <c r="CI57" s="1"/>
      <c r="CJ57" s="2"/>
      <c r="CK57" s="18"/>
      <c r="CL57" s="10"/>
      <c r="CM57" s="1"/>
      <c r="CN57" s="1"/>
      <c r="CO57" s="1"/>
      <c r="CP57" s="2"/>
      <c r="CQ57" s="18"/>
      <c r="CR57" s="10"/>
      <c r="CS57" s="1"/>
      <c r="CT57" s="1"/>
      <c r="CU57" s="1"/>
      <c r="CV57" s="2"/>
      <c r="CW57" s="18"/>
      <c r="CX57" s="8"/>
      <c r="CY57" s="1"/>
      <c r="CZ57" s="1"/>
      <c r="DA57" s="1"/>
      <c r="DB57" s="2"/>
      <c r="DC57" s="18"/>
      <c r="DD57" s="8"/>
      <c r="DE57" s="1"/>
      <c r="DF57" s="1"/>
      <c r="DG57" s="1"/>
      <c r="DH57" s="1"/>
      <c r="DI57" s="2"/>
      <c r="DJ57" s="60"/>
      <c r="DK57" s="1"/>
      <c r="DL57" s="1"/>
      <c r="DM57" s="1"/>
      <c r="DN57" s="1"/>
      <c r="DO57" s="61"/>
      <c r="DP57" s="10"/>
      <c r="DQ57" s="1"/>
      <c r="DR57" s="1"/>
      <c r="DS57" s="1"/>
      <c r="DT57" s="1"/>
      <c r="DU57" s="61"/>
      <c r="DV57" s="60"/>
      <c r="DW57" s="1"/>
      <c r="DX57" s="1"/>
      <c r="DY57" s="1"/>
      <c r="DZ57" s="1"/>
      <c r="EA57" s="61"/>
      <c r="EB57" s="10"/>
      <c r="EC57" s="1"/>
      <c r="ED57" s="1"/>
      <c r="EE57" s="1"/>
      <c r="EF57" s="1"/>
      <c r="EG57" s="61"/>
      <c r="EH57" s="10"/>
      <c r="EI57" s="1"/>
      <c r="EJ57" s="1"/>
      <c r="EK57" s="1"/>
      <c r="EL57" s="2"/>
      <c r="EM57" s="1"/>
      <c r="EN57" s="51">
        <f>SUM(L57,R57,X57,AD57,AJ57,AP57,AV57,BB57,BH57,BN57,BT57,BZ57,CF57,CL57,CR57,CX57,DD57,DJ57,DP57,DV57,EB57,EH57)/BULLETIN!$B$38*100</f>
        <v>0</v>
      </c>
      <c r="EO57" s="52" t="str">
        <f t="shared" si="0"/>
        <v>10e</v>
      </c>
      <c r="EP57" s="51">
        <f>SUM(M57,S57,Y57,AE57,AK57,AQ57,AW57,BC57,BI57,BO57,BU57,CA57,CG57,CS57,CY57,DE57,DK57,DQ57,EC57,EI57,CM57,DW57)/BULLETIN!$C$38*100</f>
        <v>0</v>
      </c>
      <c r="EQ57" s="52" t="str">
        <f t="shared" si="1"/>
        <v>10e</v>
      </c>
      <c r="ER57" s="51">
        <f>SUM(N57,T57,Z57,AF57,AL57,AR57,AX57,BD57,BJ57,BP57,BV57,CB57,CH57,CT57,CZ57,DF57,DL57,DR57,ED57,EJ57,CN57,DX57)/BULLETIN!$D$38*100</f>
        <v>0</v>
      </c>
      <c r="ES57" s="52" t="str">
        <f t="shared" si="2"/>
        <v>10e</v>
      </c>
      <c r="ET57" s="51">
        <f>SUM(L57:N57,R57:T57,X57:Z57,AD57:AF57,AJ57:AL57,AP57:AR57,AV57:AX57,BB57:BD57,BH57:BJ57,BN57:BP57,BT57:BV57,BZ57:CB57,CF57:CH57,CR57:CT57,CX57:CZ57,DD57:DF57,DJ57:DL57,DP57:DR57,EB57:ED57,EH57:EJ57,CL57:CN57,DV57:DX57)/BULLETIN!$E$38*100</f>
        <v>0</v>
      </c>
      <c r="EU57" s="52" t="str">
        <f t="shared" si="3"/>
        <v>10e</v>
      </c>
      <c r="EV57" s="51">
        <f>SUM(O57,U57,AA57,AG57,AM57,AS57,AY57,BE57,BK57,BQ57,BW57,CC57,CI57,CU57,DA57,DG57,DM57,DS57,EE57,EK57,CO57,DY57)/BULLETIN!$F$38*100</f>
        <v>0</v>
      </c>
      <c r="EW57" s="52" t="str">
        <f t="shared" si="4"/>
        <v>10e</v>
      </c>
      <c r="EX57" s="51">
        <f>SUM(P57,V57,AB57,AH57,AN57,AT57,AZ57,BF57,BL57,BR57,BX57,CD57,CJ57,CV57,DB57,DH57,DN57,DS57,EF57,EL57,CP57,DZ57)/BULLETIN!$G$38*100</f>
        <v>0</v>
      </c>
      <c r="EY57" s="52" t="str">
        <f t="shared" si="5"/>
        <v>10e</v>
      </c>
      <c r="EZ57" s="51">
        <f>SUM(Q57,W57,AC57,AI57,AO57,AU57,BA57,BG57,BM57,BS57,BY57,CE57,CK57,CW57,DC57,DI57,DO57,DU57,EG57,EM57,EA57,CQ57)/BULLETIN!$H$38*100</f>
        <v>0</v>
      </c>
      <c r="FA57" s="52" t="str">
        <f t="shared" si="6"/>
        <v>10e</v>
      </c>
      <c r="FB57" s="51">
        <f>SUM(O57:Q57,U57:W57,AA57:AC57,AG57:AI57,AM57:AO57,AS57:AU57,AY57:BA57,BE57:BG57,BK57:BM57,BQ57:BS57,BW57:BY57,CC57:CE57,CI57:CK57,CU57:CW57,DA57:DC57,DM57:DO57,DS57:DU57,EE57:EG57,EK57:EM57,DG57:DI57,CO57:CQ57,DY57:EA57)/BULLETIN!$I$38*100</f>
        <v>0</v>
      </c>
      <c r="FC57" s="52" t="str">
        <f t="shared" si="7"/>
        <v>10e</v>
      </c>
      <c r="FD57" s="51">
        <f>SUM(L57:EM57)/BULLETIN!$J$38*100</f>
        <v>0</v>
      </c>
      <c r="FE57" s="52" t="str">
        <f t="shared" si="8"/>
        <v>10e</v>
      </c>
    </row>
    <row r="58" spans="1:161" ht="15.5" x14ac:dyDescent="0.35">
      <c r="A58" s="13"/>
      <c r="B58" s="14"/>
      <c r="C58" s="14"/>
      <c r="D58" s="14"/>
      <c r="E58" s="14"/>
      <c r="F58" s="14"/>
      <c r="G58" s="14"/>
      <c r="H58" s="14"/>
      <c r="I58" s="14"/>
      <c r="J58" s="14"/>
      <c r="K58" s="16"/>
      <c r="L58" s="8"/>
      <c r="M58" s="1"/>
      <c r="N58" s="1"/>
      <c r="O58" s="1"/>
      <c r="P58" s="1"/>
      <c r="Q58" s="9"/>
      <c r="R58" s="10"/>
      <c r="S58" s="1"/>
      <c r="T58" s="1"/>
      <c r="U58" s="1"/>
      <c r="V58" s="2"/>
      <c r="W58" s="18"/>
      <c r="X58" s="8"/>
      <c r="Y58" s="1"/>
      <c r="Z58" s="1"/>
      <c r="AA58" s="1"/>
      <c r="AB58" s="1"/>
      <c r="AC58" s="9"/>
      <c r="AD58" s="8"/>
      <c r="AE58" s="1"/>
      <c r="AF58" s="1"/>
      <c r="AG58" s="1"/>
      <c r="AH58" s="1"/>
      <c r="AI58" s="9"/>
      <c r="AJ58" s="10"/>
      <c r="AK58" s="1"/>
      <c r="AL58" s="1"/>
      <c r="AM58" s="1"/>
      <c r="AN58" s="2"/>
      <c r="AO58" s="18"/>
      <c r="AP58" s="8"/>
      <c r="AQ58" s="1"/>
      <c r="AR58" s="1"/>
      <c r="AS58" s="2"/>
      <c r="AT58" s="1"/>
      <c r="AU58" s="9"/>
      <c r="AV58" s="8"/>
      <c r="AW58" s="1"/>
      <c r="AX58" s="1"/>
      <c r="AY58" s="2"/>
      <c r="AZ58" s="1"/>
      <c r="BA58" s="9"/>
      <c r="BB58" s="10"/>
      <c r="BC58" s="1"/>
      <c r="BD58" s="1"/>
      <c r="BE58" s="1"/>
      <c r="BF58" s="2"/>
      <c r="BG58" s="1"/>
      <c r="BH58" s="10"/>
      <c r="BI58" s="1"/>
      <c r="BJ58" s="1"/>
      <c r="BK58" s="2"/>
      <c r="BL58" s="1"/>
      <c r="BM58" s="9"/>
      <c r="BN58" s="10"/>
      <c r="BO58" s="1"/>
      <c r="BP58" s="1"/>
      <c r="BQ58" s="1"/>
      <c r="BR58" s="2"/>
      <c r="BS58" s="18"/>
      <c r="BT58" s="8"/>
      <c r="BU58" s="1"/>
      <c r="BV58" s="1"/>
      <c r="BW58" s="2"/>
      <c r="BX58" s="1"/>
      <c r="BY58" s="9"/>
      <c r="BZ58" s="10"/>
      <c r="CA58" s="1"/>
      <c r="CB58" s="1"/>
      <c r="CC58" s="1"/>
      <c r="CD58" s="2"/>
      <c r="CE58" s="18"/>
      <c r="CF58" s="10"/>
      <c r="CG58" s="1"/>
      <c r="CH58" s="1"/>
      <c r="CI58" s="1"/>
      <c r="CJ58" s="2"/>
      <c r="CK58" s="18"/>
      <c r="CL58" s="10"/>
      <c r="CM58" s="1"/>
      <c r="CN58" s="1"/>
      <c r="CO58" s="1"/>
      <c r="CP58" s="2"/>
      <c r="CQ58" s="18"/>
      <c r="CR58" s="10"/>
      <c r="CS58" s="1"/>
      <c r="CT58" s="1"/>
      <c r="CU58" s="1"/>
      <c r="CV58" s="2"/>
      <c r="CW58" s="18"/>
      <c r="CX58" s="8"/>
      <c r="CY58" s="1"/>
      <c r="CZ58" s="1"/>
      <c r="DA58" s="1"/>
      <c r="DB58" s="2"/>
      <c r="DC58" s="18"/>
      <c r="DD58" s="8"/>
      <c r="DE58" s="1"/>
      <c r="DF58" s="1"/>
      <c r="DG58" s="1"/>
      <c r="DH58" s="1"/>
      <c r="DI58" s="2"/>
      <c r="DJ58" s="60"/>
      <c r="DK58" s="1"/>
      <c r="DL58" s="1"/>
      <c r="DM58" s="1"/>
      <c r="DN58" s="1"/>
      <c r="DO58" s="61"/>
      <c r="DP58" s="10"/>
      <c r="DQ58" s="1"/>
      <c r="DR58" s="1"/>
      <c r="DS58" s="1"/>
      <c r="DT58" s="1"/>
      <c r="DU58" s="61"/>
      <c r="DV58" s="60"/>
      <c r="DW58" s="1"/>
      <c r="DX58" s="1"/>
      <c r="DY58" s="1"/>
      <c r="DZ58" s="1"/>
      <c r="EA58" s="61"/>
      <c r="EB58" s="10"/>
      <c r="EC58" s="1"/>
      <c r="ED58" s="1"/>
      <c r="EE58" s="1"/>
      <c r="EF58" s="1"/>
      <c r="EG58" s="61"/>
      <c r="EH58" s="10"/>
      <c r="EI58" s="1"/>
      <c r="EJ58" s="1"/>
      <c r="EK58" s="1"/>
      <c r="EL58" s="2"/>
      <c r="EM58" s="1"/>
      <c r="EN58" s="51">
        <f>SUM(L58,R58,X58,AD58,AJ58,AP58,AV58,BB58,BH58,BN58,BT58,BZ58,CF58,CL58,CR58,CX58,DD58,DJ58,DP58,DV58,EB58,EH58)/BULLETIN!$B$38*100</f>
        <v>0</v>
      </c>
      <c r="EO58" s="52" t="str">
        <f t="shared" si="0"/>
        <v>10e</v>
      </c>
      <c r="EP58" s="51">
        <f>SUM(M58,S58,Y58,AE58,AK58,AQ58,AW58,BC58,BI58,BO58,BU58,CA58,CG58,CS58,CY58,DE58,DK58,DQ58,EC58,EI58,CM58,DW58)/BULLETIN!$C$38*100</f>
        <v>0</v>
      </c>
      <c r="EQ58" s="52" t="str">
        <f t="shared" si="1"/>
        <v>10e</v>
      </c>
      <c r="ER58" s="51">
        <f>SUM(N58,T58,Z58,AF58,AL58,AR58,AX58,BD58,BJ58,BP58,BV58,CB58,CH58,CT58,CZ58,DF58,DL58,DR58,ED58,EJ58,CN58,DX58)/BULLETIN!$D$38*100</f>
        <v>0</v>
      </c>
      <c r="ES58" s="52" t="str">
        <f t="shared" si="2"/>
        <v>10e</v>
      </c>
      <c r="ET58" s="51">
        <f>SUM(L58:N58,R58:T58,X58:Z58,AD58:AF58,AJ58:AL58,AP58:AR58,AV58:AX58,BB58:BD58,BH58:BJ58,BN58:BP58,BT58:BV58,BZ58:CB58,CF58:CH58,CR58:CT58,CX58:CZ58,DD58:DF58,DJ58:DL58,DP58:DR58,EB58:ED58,EH58:EJ58,CL58:CN58,DV58:DX58)/BULLETIN!$E$38*100</f>
        <v>0</v>
      </c>
      <c r="EU58" s="52" t="str">
        <f t="shared" si="3"/>
        <v>10e</v>
      </c>
      <c r="EV58" s="51">
        <f>SUM(O58,U58,AA58,AG58,AM58,AS58,AY58,BE58,BK58,BQ58,BW58,CC58,CI58,CU58,DA58,DG58,DM58,DS58,EE58,EK58,CO58,DY58)/BULLETIN!$F$38*100</f>
        <v>0</v>
      </c>
      <c r="EW58" s="52" t="str">
        <f t="shared" si="4"/>
        <v>10e</v>
      </c>
      <c r="EX58" s="51">
        <f>SUM(P58,V58,AB58,AH58,AN58,AT58,AZ58,BF58,BL58,BR58,BX58,CD58,CJ58,CV58,DB58,DH58,DN58,DS58,EF58,EL58,CP58,DZ58)/BULLETIN!$G$38*100</f>
        <v>0</v>
      </c>
      <c r="EY58" s="52" t="str">
        <f t="shared" si="5"/>
        <v>10e</v>
      </c>
      <c r="EZ58" s="51">
        <f>SUM(Q58,W58,AC58,AI58,AO58,AU58,BA58,BG58,BM58,BS58,BY58,CE58,CK58,CW58,DC58,DI58,DO58,DU58,EG58,EM58,EA58,CQ58)/BULLETIN!$H$38*100</f>
        <v>0</v>
      </c>
      <c r="FA58" s="52" t="str">
        <f t="shared" si="6"/>
        <v>10e</v>
      </c>
      <c r="FB58" s="51">
        <f>SUM(O58:Q58,U58:W58,AA58:AC58,AG58:AI58,AM58:AO58,AS58:AU58,AY58:BA58,BE58:BG58,BK58:BM58,BQ58:BS58,BW58:BY58,CC58:CE58,CI58:CK58,CU58:CW58,DA58:DC58,DM58:DO58,DS58:DU58,EE58:EG58,EK58:EM58,DG58:DI58,CO58:CQ58,DY58:EA58)/BULLETIN!$I$38*100</f>
        <v>0</v>
      </c>
      <c r="FC58" s="52" t="str">
        <f t="shared" si="7"/>
        <v>10e</v>
      </c>
      <c r="FD58" s="51">
        <f>SUM(L58:EM58)/BULLETIN!$J$38*100</f>
        <v>0</v>
      </c>
      <c r="FE58" s="52" t="str">
        <f t="shared" si="8"/>
        <v>10e</v>
      </c>
    </row>
    <row r="59" spans="1:161" ht="15.5" x14ac:dyDescent="0.35">
      <c r="A59" s="13"/>
      <c r="B59" s="14"/>
      <c r="C59" s="14"/>
      <c r="D59" s="14"/>
      <c r="E59" s="14"/>
      <c r="F59" s="14"/>
      <c r="G59" s="14"/>
      <c r="H59" s="14"/>
      <c r="I59" s="14"/>
      <c r="J59" s="14"/>
      <c r="K59" s="16"/>
      <c r="L59" s="8"/>
      <c r="M59" s="1"/>
      <c r="N59" s="1"/>
      <c r="O59" s="1"/>
      <c r="P59" s="1"/>
      <c r="Q59" s="9"/>
      <c r="R59" s="10"/>
      <c r="S59" s="1"/>
      <c r="T59" s="1"/>
      <c r="U59" s="1"/>
      <c r="V59" s="2"/>
      <c r="W59" s="18"/>
      <c r="X59" s="8"/>
      <c r="Y59" s="1"/>
      <c r="Z59" s="1"/>
      <c r="AA59" s="1"/>
      <c r="AB59" s="1"/>
      <c r="AC59" s="9"/>
      <c r="AD59" s="8"/>
      <c r="AE59" s="1"/>
      <c r="AF59" s="1"/>
      <c r="AG59" s="1"/>
      <c r="AH59" s="1"/>
      <c r="AI59" s="9"/>
      <c r="AJ59" s="10"/>
      <c r="AK59" s="1"/>
      <c r="AL59" s="1"/>
      <c r="AM59" s="1"/>
      <c r="AN59" s="2"/>
      <c r="AO59" s="18"/>
      <c r="AP59" s="8"/>
      <c r="AQ59" s="1"/>
      <c r="AR59" s="1"/>
      <c r="AS59" s="2"/>
      <c r="AT59" s="1"/>
      <c r="AU59" s="9"/>
      <c r="AV59" s="8"/>
      <c r="AW59" s="1"/>
      <c r="AX59" s="1"/>
      <c r="AY59" s="2"/>
      <c r="AZ59" s="1"/>
      <c r="BA59" s="9"/>
      <c r="BB59" s="10"/>
      <c r="BC59" s="1"/>
      <c r="BD59" s="1"/>
      <c r="BE59" s="1"/>
      <c r="BF59" s="2"/>
      <c r="BG59" s="1"/>
      <c r="BH59" s="10"/>
      <c r="BI59" s="1"/>
      <c r="BJ59" s="1"/>
      <c r="BK59" s="2"/>
      <c r="BL59" s="1"/>
      <c r="BM59" s="9"/>
      <c r="BN59" s="10"/>
      <c r="BO59" s="1"/>
      <c r="BP59" s="1"/>
      <c r="BQ59" s="1"/>
      <c r="BR59" s="2"/>
      <c r="BS59" s="18"/>
      <c r="BT59" s="8"/>
      <c r="BU59" s="1"/>
      <c r="BV59" s="1"/>
      <c r="BW59" s="2"/>
      <c r="BX59" s="1"/>
      <c r="BY59" s="9"/>
      <c r="BZ59" s="10"/>
      <c r="CA59" s="1"/>
      <c r="CB59" s="1"/>
      <c r="CC59" s="1"/>
      <c r="CD59" s="2"/>
      <c r="CE59" s="18"/>
      <c r="CF59" s="10"/>
      <c r="CG59" s="1"/>
      <c r="CH59" s="1"/>
      <c r="CI59" s="1"/>
      <c r="CJ59" s="2"/>
      <c r="CK59" s="18"/>
      <c r="CL59" s="10"/>
      <c r="CM59" s="1"/>
      <c r="CN59" s="1"/>
      <c r="CO59" s="1"/>
      <c r="CP59" s="2"/>
      <c r="CQ59" s="18"/>
      <c r="CR59" s="10"/>
      <c r="CS59" s="1"/>
      <c r="CT59" s="1"/>
      <c r="CU59" s="1"/>
      <c r="CV59" s="2"/>
      <c r="CW59" s="18"/>
      <c r="CX59" s="8"/>
      <c r="CY59" s="1"/>
      <c r="CZ59" s="1"/>
      <c r="DA59" s="1"/>
      <c r="DB59" s="2"/>
      <c r="DC59" s="18"/>
      <c r="DD59" s="8"/>
      <c r="DE59" s="1"/>
      <c r="DF59" s="1"/>
      <c r="DG59" s="1"/>
      <c r="DH59" s="1"/>
      <c r="DI59" s="2"/>
      <c r="DJ59" s="60"/>
      <c r="DK59" s="1"/>
      <c r="DL59" s="1"/>
      <c r="DM59" s="1"/>
      <c r="DN59" s="1"/>
      <c r="DO59" s="61"/>
      <c r="DP59" s="10"/>
      <c r="DQ59" s="1"/>
      <c r="DR59" s="1"/>
      <c r="DS59" s="1"/>
      <c r="DT59" s="1"/>
      <c r="DU59" s="61"/>
      <c r="DV59" s="60"/>
      <c r="DW59" s="1"/>
      <c r="DX59" s="1"/>
      <c r="DY59" s="1"/>
      <c r="DZ59" s="1"/>
      <c r="EA59" s="61"/>
      <c r="EB59" s="10"/>
      <c r="EC59" s="1"/>
      <c r="ED59" s="1"/>
      <c r="EE59" s="1"/>
      <c r="EF59" s="1"/>
      <c r="EG59" s="61"/>
      <c r="EH59" s="10"/>
      <c r="EI59" s="1"/>
      <c r="EJ59" s="1"/>
      <c r="EK59" s="1"/>
      <c r="EL59" s="2"/>
      <c r="EM59" s="1"/>
      <c r="EN59" s="51">
        <f>SUM(L59,R59,X59,AD59,AJ59,AP59,AV59,BB59,BH59,BN59,BT59,BZ59,CF59,CL59,CR59,CX59,DD59,DJ59,DP59,DV59,EB59,EH59)/BULLETIN!$B$38*100</f>
        <v>0</v>
      </c>
      <c r="EO59" s="52" t="str">
        <f t="shared" si="0"/>
        <v>10e</v>
      </c>
      <c r="EP59" s="51">
        <f>SUM(M59,S59,Y59,AE59,AK59,AQ59,AW59,BC59,BI59,BO59,BU59,CA59,CG59,CS59,CY59,DE59,DK59,DQ59,EC59,EI59,CM59,DW59)/BULLETIN!$C$38*100</f>
        <v>0</v>
      </c>
      <c r="EQ59" s="52" t="str">
        <f t="shared" si="1"/>
        <v>10e</v>
      </c>
      <c r="ER59" s="51">
        <f>SUM(N59,T59,Z59,AF59,AL59,AR59,AX59,BD59,BJ59,BP59,BV59,CB59,CH59,CT59,CZ59,DF59,DL59,DR59,ED59,EJ59,CN59,DX59)/BULLETIN!$D$38*100</f>
        <v>0</v>
      </c>
      <c r="ES59" s="52" t="str">
        <f t="shared" si="2"/>
        <v>10e</v>
      </c>
      <c r="ET59" s="51">
        <f>SUM(L59:N59,R59:T59,X59:Z59,AD59:AF59,AJ59:AL59,AP59:AR59,AV59:AX59,BB59:BD59,BH59:BJ59,BN59:BP59,BT59:BV59,BZ59:CB59,CF59:CH59,CR59:CT59,CX59:CZ59,DD59:DF59,DJ59:DL59,DP59:DR59,EB59:ED59,EH59:EJ59,CL59:CN59,DV59:DX59)/BULLETIN!$E$38*100</f>
        <v>0</v>
      </c>
      <c r="EU59" s="52" t="str">
        <f t="shared" si="3"/>
        <v>10e</v>
      </c>
      <c r="EV59" s="51">
        <f>SUM(O59,U59,AA59,AG59,AM59,AS59,AY59,BE59,BK59,BQ59,BW59,CC59,CI59,CU59,DA59,DG59,DM59,DS59,EE59,EK59,CO59,DY59)/BULLETIN!$F$38*100</f>
        <v>0</v>
      </c>
      <c r="EW59" s="52" t="str">
        <f t="shared" si="4"/>
        <v>10e</v>
      </c>
      <c r="EX59" s="51">
        <f>SUM(P59,V59,AB59,AH59,AN59,AT59,AZ59,BF59,BL59,BR59,BX59,CD59,CJ59,CV59,DB59,DH59,DN59,DS59,EF59,EL59,CP59,DZ59)/BULLETIN!$G$38*100</f>
        <v>0</v>
      </c>
      <c r="EY59" s="52" t="str">
        <f t="shared" si="5"/>
        <v>10e</v>
      </c>
      <c r="EZ59" s="51">
        <f>SUM(Q59,W59,AC59,AI59,AO59,AU59,BA59,BG59,BM59,BS59,BY59,CE59,CK59,CW59,DC59,DI59,DO59,DU59,EG59,EM59,EA59,CQ59)/BULLETIN!$H$38*100</f>
        <v>0</v>
      </c>
      <c r="FA59" s="52" t="str">
        <f t="shared" si="6"/>
        <v>10e</v>
      </c>
      <c r="FB59" s="51">
        <f>SUM(O59:Q59,U59:W59,AA59:AC59,AG59:AI59,AM59:AO59,AS59:AU59,AY59:BA59,BE59:BG59,BK59:BM59,BQ59:BS59,BW59:BY59,CC59:CE59,CI59:CK59,CU59:CW59,DA59:DC59,DM59:DO59,DS59:DU59,EE59:EG59,EK59:EM59,DG59:DI59,CO59:CQ59,DY59:EA59)/BULLETIN!$I$38*100</f>
        <v>0</v>
      </c>
      <c r="FC59" s="52" t="str">
        <f t="shared" si="7"/>
        <v>10e</v>
      </c>
      <c r="FD59" s="51">
        <f>SUM(L59:EM59)/BULLETIN!$J$38*100</f>
        <v>0</v>
      </c>
      <c r="FE59" s="52" t="str">
        <f t="shared" si="8"/>
        <v>10e</v>
      </c>
    </row>
    <row r="60" spans="1:161" ht="15.5" x14ac:dyDescent="0.35">
      <c r="A60" s="13"/>
      <c r="B60" s="14"/>
      <c r="C60" s="14"/>
      <c r="D60" s="14"/>
      <c r="E60" s="14"/>
      <c r="F60" s="14"/>
      <c r="G60" s="14"/>
      <c r="H60" s="14"/>
      <c r="I60" s="14"/>
      <c r="J60" s="14"/>
      <c r="K60" s="16"/>
      <c r="L60" s="8"/>
      <c r="M60" s="1"/>
      <c r="N60" s="1"/>
      <c r="O60" s="1"/>
      <c r="P60" s="1"/>
      <c r="Q60" s="9"/>
      <c r="R60" s="10"/>
      <c r="S60" s="1"/>
      <c r="T60" s="1"/>
      <c r="U60" s="1"/>
      <c r="V60" s="2"/>
      <c r="W60" s="18"/>
      <c r="X60" s="8"/>
      <c r="Y60" s="1"/>
      <c r="Z60" s="1"/>
      <c r="AA60" s="1"/>
      <c r="AB60" s="1"/>
      <c r="AC60" s="9"/>
      <c r="AD60" s="8"/>
      <c r="AE60" s="1"/>
      <c r="AF60" s="1"/>
      <c r="AG60" s="1"/>
      <c r="AH60" s="1"/>
      <c r="AI60" s="9"/>
      <c r="AJ60" s="10"/>
      <c r="AK60" s="1"/>
      <c r="AL60" s="1"/>
      <c r="AM60" s="1"/>
      <c r="AN60" s="2"/>
      <c r="AO60" s="18"/>
      <c r="AP60" s="8"/>
      <c r="AQ60" s="1"/>
      <c r="AR60" s="1"/>
      <c r="AS60" s="2"/>
      <c r="AT60" s="1"/>
      <c r="AU60" s="9"/>
      <c r="AV60" s="8"/>
      <c r="AW60" s="1"/>
      <c r="AX60" s="1"/>
      <c r="AY60" s="2"/>
      <c r="AZ60" s="1"/>
      <c r="BA60" s="9"/>
      <c r="BB60" s="10"/>
      <c r="BC60" s="1"/>
      <c r="BD60" s="1"/>
      <c r="BE60" s="1"/>
      <c r="BF60" s="2"/>
      <c r="BG60" s="1"/>
      <c r="BH60" s="10"/>
      <c r="BI60" s="1"/>
      <c r="BJ60" s="1"/>
      <c r="BK60" s="2"/>
      <c r="BL60" s="1"/>
      <c r="BM60" s="9"/>
      <c r="BN60" s="10"/>
      <c r="BO60" s="1"/>
      <c r="BP60" s="1"/>
      <c r="BQ60" s="1"/>
      <c r="BR60" s="2"/>
      <c r="BS60" s="18"/>
      <c r="BT60" s="8"/>
      <c r="BU60" s="1"/>
      <c r="BV60" s="1"/>
      <c r="BW60" s="2"/>
      <c r="BX60" s="1"/>
      <c r="BY60" s="9"/>
      <c r="BZ60" s="10"/>
      <c r="CA60" s="1"/>
      <c r="CB60" s="1"/>
      <c r="CC60" s="1"/>
      <c r="CD60" s="2"/>
      <c r="CE60" s="18"/>
      <c r="CF60" s="10"/>
      <c r="CG60" s="1"/>
      <c r="CH60" s="1"/>
      <c r="CI60" s="1"/>
      <c r="CJ60" s="2"/>
      <c r="CK60" s="18"/>
      <c r="CL60" s="10"/>
      <c r="CM60" s="1"/>
      <c r="CN60" s="1"/>
      <c r="CO60" s="1"/>
      <c r="CP60" s="2"/>
      <c r="CQ60" s="18"/>
      <c r="CR60" s="10"/>
      <c r="CS60" s="1"/>
      <c r="CT60" s="1"/>
      <c r="CU60" s="1"/>
      <c r="CV60" s="2"/>
      <c r="CW60" s="18"/>
      <c r="CX60" s="8"/>
      <c r="CY60" s="1"/>
      <c r="CZ60" s="1"/>
      <c r="DA60" s="1"/>
      <c r="DB60" s="2"/>
      <c r="DC60" s="18"/>
      <c r="DD60" s="8"/>
      <c r="DE60" s="1"/>
      <c r="DF60" s="1"/>
      <c r="DG60" s="1"/>
      <c r="DH60" s="1"/>
      <c r="DI60" s="2"/>
      <c r="DJ60" s="60"/>
      <c r="DK60" s="1"/>
      <c r="DL60" s="1"/>
      <c r="DM60" s="1"/>
      <c r="DN60" s="1"/>
      <c r="DO60" s="61"/>
      <c r="DP60" s="10"/>
      <c r="DQ60" s="1"/>
      <c r="DR60" s="1"/>
      <c r="DS60" s="1"/>
      <c r="DT60" s="1"/>
      <c r="DU60" s="61"/>
      <c r="DV60" s="60"/>
      <c r="DW60" s="1"/>
      <c r="DX60" s="1"/>
      <c r="DY60" s="1"/>
      <c r="DZ60" s="1"/>
      <c r="EA60" s="61"/>
      <c r="EB60" s="10"/>
      <c r="EC60" s="1"/>
      <c r="ED60" s="1"/>
      <c r="EE60" s="1"/>
      <c r="EF60" s="1"/>
      <c r="EG60" s="61"/>
      <c r="EH60" s="10"/>
      <c r="EI60" s="1"/>
      <c r="EJ60" s="1"/>
      <c r="EK60" s="1"/>
      <c r="EL60" s="2"/>
      <c r="EM60" s="1"/>
      <c r="EN60" s="51">
        <f>SUM(L60,R60,X60,AD60,AJ60,AP60,AV60,BB60,BH60,BN60,BT60,BZ60,CF60,CL60,CR60,CX60,DD60,DJ60,DP60,DV60,EB60,EH60)/BULLETIN!$B$38*100</f>
        <v>0</v>
      </c>
      <c r="EO60" s="52" t="str">
        <f t="shared" si="0"/>
        <v>10e</v>
      </c>
      <c r="EP60" s="51">
        <f>SUM(M60,S60,Y60,AE60,AK60,AQ60,AW60,BC60,BI60,BO60,BU60,CA60,CG60,CS60,CY60,DE60,DK60,DQ60,EC60,EI60,CM60,DW60)/BULLETIN!$C$38*100</f>
        <v>0</v>
      </c>
      <c r="EQ60" s="52" t="str">
        <f t="shared" si="1"/>
        <v>10e</v>
      </c>
      <c r="ER60" s="51">
        <f>SUM(N60,T60,Z60,AF60,AL60,AR60,AX60,BD60,BJ60,BP60,BV60,CB60,CH60,CT60,CZ60,DF60,DL60,DR60,ED60,EJ60,CN60,DX60)/BULLETIN!$D$38*100</f>
        <v>0</v>
      </c>
      <c r="ES60" s="52" t="str">
        <f t="shared" si="2"/>
        <v>10e</v>
      </c>
      <c r="ET60" s="51">
        <f>SUM(L60:N60,R60:T60,X60:Z60,AD60:AF60,AJ60:AL60,AP60:AR60,AV60:AX60,BB60:BD60,BH60:BJ60,BN60:BP60,BT60:BV60,BZ60:CB60,CF60:CH60,CR60:CT60,CX60:CZ60,DD60:DF60,DJ60:DL60,DP60:DR60,EB60:ED60,EH60:EJ60,CL60:CN60,DV60:DX60)/BULLETIN!$E$38*100</f>
        <v>0</v>
      </c>
      <c r="EU60" s="52" t="str">
        <f t="shared" si="3"/>
        <v>10e</v>
      </c>
      <c r="EV60" s="51">
        <f>SUM(O60,U60,AA60,AG60,AM60,AS60,AY60,BE60,BK60,BQ60,BW60,CC60,CI60,CU60,DA60,DG60,DM60,DS60,EE60,EK60,CO60,DY60)/BULLETIN!$F$38*100</f>
        <v>0</v>
      </c>
      <c r="EW60" s="52" t="str">
        <f t="shared" si="4"/>
        <v>10e</v>
      </c>
      <c r="EX60" s="51">
        <f>SUM(P60,V60,AB60,AH60,AN60,AT60,AZ60,BF60,BL60,BR60,BX60,CD60,CJ60,CV60,DB60,DH60,DN60,DS60,EF60,EL60,CP60,DZ60)/BULLETIN!$G$38*100</f>
        <v>0</v>
      </c>
      <c r="EY60" s="52" t="str">
        <f t="shared" si="5"/>
        <v>10e</v>
      </c>
      <c r="EZ60" s="51">
        <f>SUM(Q60,W60,AC60,AI60,AO60,AU60,BA60,BG60,BM60,BS60,BY60,CE60,CK60,CW60,DC60,DI60,DO60,DU60,EG60,EM60,EA60,CQ60)/BULLETIN!$H$38*100</f>
        <v>0</v>
      </c>
      <c r="FA60" s="52" t="str">
        <f t="shared" si="6"/>
        <v>10e</v>
      </c>
      <c r="FB60" s="51">
        <f>SUM(O60:Q60,U60:W60,AA60:AC60,AG60:AI60,AM60:AO60,AS60:AU60,AY60:BA60,BE60:BG60,BK60:BM60,BQ60:BS60,BW60:BY60,CC60:CE60,CI60:CK60,CU60:CW60,DA60:DC60,DM60:DO60,DS60:DU60,EE60:EG60,EK60:EM60,DG60:DI60,CO60:CQ60,DY60:EA60)/BULLETIN!$I$38*100</f>
        <v>0</v>
      </c>
      <c r="FC60" s="52" t="str">
        <f t="shared" si="7"/>
        <v>10e</v>
      </c>
      <c r="FD60" s="51">
        <f>SUM(L60:EM60)/BULLETIN!$J$38*100</f>
        <v>0</v>
      </c>
      <c r="FE60" s="52" t="str">
        <f t="shared" si="8"/>
        <v>10e</v>
      </c>
    </row>
    <row r="61" spans="1:161" ht="15.5" x14ac:dyDescent="0.35">
      <c r="A61" s="13"/>
      <c r="B61" s="14"/>
      <c r="C61" s="14"/>
      <c r="D61" s="14"/>
      <c r="E61" s="14"/>
      <c r="F61" s="14"/>
      <c r="G61" s="14"/>
      <c r="H61" s="14"/>
      <c r="I61" s="14"/>
      <c r="J61" s="14"/>
      <c r="K61" s="16"/>
      <c r="L61" s="8"/>
      <c r="M61" s="1"/>
      <c r="N61" s="1"/>
      <c r="O61" s="1"/>
      <c r="P61" s="1"/>
      <c r="Q61" s="9"/>
      <c r="R61" s="10"/>
      <c r="S61" s="1"/>
      <c r="T61" s="1"/>
      <c r="U61" s="1"/>
      <c r="V61" s="2"/>
      <c r="W61" s="18"/>
      <c r="X61" s="8"/>
      <c r="Y61" s="1"/>
      <c r="Z61" s="1"/>
      <c r="AA61" s="1"/>
      <c r="AB61" s="1"/>
      <c r="AC61" s="9"/>
      <c r="AD61" s="8"/>
      <c r="AE61" s="1"/>
      <c r="AF61" s="1"/>
      <c r="AG61" s="1"/>
      <c r="AH61" s="1"/>
      <c r="AI61" s="9"/>
      <c r="AJ61" s="10"/>
      <c r="AK61" s="1"/>
      <c r="AL61" s="1"/>
      <c r="AM61" s="1"/>
      <c r="AN61" s="2"/>
      <c r="AO61" s="18"/>
      <c r="AP61" s="8"/>
      <c r="AQ61" s="1"/>
      <c r="AR61" s="1"/>
      <c r="AS61" s="2"/>
      <c r="AT61" s="1"/>
      <c r="AU61" s="9"/>
      <c r="AV61" s="8"/>
      <c r="AW61" s="1"/>
      <c r="AX61" s="1"/>
      <c r="AY61" s="2"/>
      <c r="AZ61" s="1"/>
      <c r="BA61" s="9"/>
      <c r="BB61" s="10"/>
      <c r="BC61" s="1"/>
      <c r="BD61" s="1"/>
      <c r="BE61" s="1"/>
      <c r="BF61" s="2"/>
      <c r="BG61" s="1"/>
      <c r="BH61" s="10"/>
      <c r="BI61" s="1"/>
      <c r="BJ61" s="1"/>
      <c r="BK61" s="2"/>
      <c r="BL61" s="1"/>
      <c r="BM61" s="9"/>
      <c r="BN61" s="10"/>
      <c r="BO61" s="1"/>
      <c r="BP61" s="1"/>
      <c r="BQ61" s="1"/>
      <c r="BR61" s="2"/>
      <c r="BS61" s="18"/>
      <c r="BT61" s="8"/>
      <c r="BU61" s="1"/>
      <c r="BV61" s="1"/>
      <c r="BW61" s="2"/>
      <c r="BX61" s="1"/>
      <c r="BY61" s="9"/>
      <c r="BZ61" s="10"/>
      <c r="CA61" s="1"/>
      <c r="CB61" s="1"/>
      <c r="CC61" s="1"/>
      <c r="CD61" s="2"/>
      <c r="CE61" s="18"/>
      <c r="CF61" s="10"/>
      <c r="CG61" s="1"/>
      <c r="CH61" s="1"/>
      <c r="CI61" s="1"/>
      <c r="CJ61" s="2"/>
      <c r="CK61" s="18"/>
      <c r="CL61" s="10"/>
      <c r="CM61" s="1"/>
      <c r="CN61" s="1"/>
      <c r="CO61" s="1"/>
      <c r="CP61" s="2"/>
      <c r="CQ61" s="18"/>
      <c r="CR61" s="10"/>
      <c r="CS61" s="1"/>
      <c r="CT61" s="1"/>
      <c r="CU61" s="1"/>
      <c r="CV61" s="2"/>
      <c r="CW61" s="18"/>
      <c r="CX61" s="8"/>
      <c r="CY61" s="1"/>
      <c r="CZ61" s="1"/>
      <c r="DA61" s="1"/>
      <c r="DB61" s="2"/>
      <c r="DC61" s="18"/>
      <c r="DD61" s="8"/>
      <c r="DE61" s="1"/>
      <c r="DF61" s="1"/>
      <c r="DG61" s="1"/>
      <c r="DH61" s="1"/>
      <c r="DI61" s="2"/>
      <c r="DJ61" s="60"/>
      <c r="DK61" s="1"/>
      <c r="DL61" s="1"/>
      <c r="DM61" s="1"/>
      <c r="DN61" s="1"/>
      <c r="DO61" s="61"/>
      <c r="DP61" s="10"/>
      <c r="DQ61" s="1"/>
      <c r="DR61" s="1"/>
      <c r="DS61" s="1"/>
      <c r="DT61" s="1"/>
      <c r="DU61" s="61"/>
      <c r="DV61" s="60"/>
      <c r="DW61" s="1"/>
      <c r="DX61" s="1"/>
      <c r="DY61" s="1"/>
      <c r="DZ61" s="1"/>
      <c r="EA61" s="61"/>
      <c r="EB61" s="10"/>
      <c r="EC61" s="1"/>
      <c r="ED61" s="1"/>
      <c r="EE61" s="1"/>
      <c r="EF61" s="1"/>
      <c r="EG61" s="61"/>
      <c r="EH61" s="10"/>
      <c r="EI61" s="1"/>
      <c r="EJ61" s="1"/>
      <c r="EK61" s="1"/>
      <c r="EL61" s="2"/>
      <c r="EM61" s="1"/>
      <c r="EN61" s="51">
        <f>SUM(L61,R61,X61,AD61,AJ61,AP61,AV61,BB61,BH61,BN61,BT61,BZ61,CF61,CL61,CR61,CX61,DD61,DJ61,DP61,DV61,EB61,EH61)/BULLETIN!$B$38*100</f>
        <v>0</v>
      </c>
      <c r="EO61" s="52" t="str">
        <f t="shared" si="0"/>
        <v>10e</v>
      </c>
      <c r="EP61" s="51">
        <f>SUM(M61,S61,Y61,AE61,AK61,AQ61,AW61,BC61,BI61,BO61,BU61,CA61,CG61,CS61,CY61,DE61,DK61,DQ61,EC61,EI61,CM61,DW61)/BULLETIN!$C$38*100</f>
        <v>0</v>
      </c>
      <c r="EQ61" s="52" t="str">
        <f t="shared" si="1"/>
        <v>10e</v>
      </c>
      <c r="ER61" s="51">
        <f>SUM(N61,T61,Z61,AF61,AL61,AR61,AX61,BD61,BJ61,BP61,BV61,CB61,CH61,CT61,CZ61,DF61,DL61,DR61,ED61,EJ61,CN61,DX61)/BULLETIN!$D$38*100</f>
        <v>0</v>
      </c>
      <c r="ES61" s="52" t="str">
        <f t="shared" si="2"/>
        <v>10e</v>
      </c>
      <c r="ET61" s="51">
        <f>SUM(L61:N61,R61:T61,X61:Z61,AD61:AF61,AJ61:AL61,AP61:AR61,AV61:AX61,BB61:BD61,BH61:BJ61,BN61:BP61,BT61:BV61,BZ61:CB61,CF61:CH61,CR61:CT61,CX61:CZ61,DD61:DF61,DJ61:DL61,DP61:DR61,EB61:ED61,EH61:EJ61,CL61:CN61,DV61:DX61)/BULLETIN!$E$38*100</f>
        <v>0</v>
      </c>
      <c r="EU61" s="52" t="str">
        <f t="shared" si="3"/>
        <v>10e</v>
      </c>
      <c r="EV61" s="51">
        <f>SUM(O61,U61,AA61,AG61,AM61,AS61,AY61,BE61,BK61,BQ61,BW61,CC61,CI61,CU61,DA61,DG61,DM61,DS61,EE61,EK61,CO61,DY61)/BULLETIN!$F$38*100</f>
        <v>0</v>
      </c>
      <c r="EW61" s="52" t="str">
        <f t="shared" si="4"/>
        <v>10e</v>
      </c>
      <c r="EX61" s="51">
        <f>SUM(P61,V61,AB61,AH61,AN61,AT61,AZ61,BF61,BL61,BR61,BX61,CD61,CJ61,CV61,DB61,DH61,DN61,DS61,EF61,EL61,CP61,DZ61)/BULLETIN!$G$38*100</f>
        <v>0</v>
      </c>
      <c r="EY61" s="52" t="str">
        <f t="shared" si="5"/>
        <v>10e</v>
      </c>
      <c r="EZ61" s="51">
        <f>SUM(Q61,W61,AC61,AI61,AO61,AU61,BA61,BG61,BM61,BS61,BY61,CE61,CK61,CW61,DC61,DI61,DO61,DU61,EG61,EM61,EA61,CQ61)/BULLETIN!$H$38*100</f>
        <v>0</v>
      </c>
      <c r="FA61" s="52" t="str">
        <f t="shared" si="6"/>
        <v>10e</v>
      </c>
      <c r="FB61" s="51">
        <f>SUM(O61:Q61,U61:W61,AA61:AC61,AG61:AI61,AM61:AO61,AS61:AU61,AY61:BA61,BE61:BG61,BK61:BM61,BQ61:BS61,BW61:BY61,CC61:CE61,CI61:CK61,CU61:CW61,DA61:DC61,DM61:DO61,DS61:DU61,EE61:EG61,EK61:EM61,DG61:DI61,CO61:CQ61,DY61:EA61)/BULLETIN!$I$38*100</f>
        <v>0</v>
      </c>
      <c r="FC61" s="52" t="str">
        <f t="shared" si="7"/>
        <v>10e</v>
      </c>
      <c r="FD61" s="51">
        <f>SUM(L61:EM61)/BULLETIN!$J$38*100</f>
        <v>0</v>
      </c>
      <c r="FE61" s="52" t="str">
        <f t="shared" si="8"/>
        <v>10e</v>
      </c>
    </row>
    <row r="62" spans="1:161" ht="15.5" x14ac:dyDescent="0.35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6"/>
      <c r="L62" s="8"/>
      <c r="M62" s="1"/>
      <c r="N62" s="1"/>
      <c r="O62" s="1"/>
      <c r="P62" s="1"/>
      <c r="Q62" s="9"/>
      <c r="R62" s="10"/>
      <c r="S62" s="1"/>
      <c r="T62" s="1"/>
      <c r="U62" s="1"/>
      <c r="V62" s="2"/>
      <c r="W62" s="18"/>
      <c r="X62" s="8"/>
      <c r="Y62" s="1"/>
      <c r="Z62" s="1"/>
      <c r="AA62" s="1"/>
      <c r="AB62" s="1"/>
      <c r="AC62" s="9"/>
      <c r="AD62" s="8"/>
      <c r="AE62" s="1"/>
      <c r="AF62" s="1"/>
      <c r="AG62" s="1"/>
      <c r="AH62" s="1"/>
      <c r="AI62" s="9"/>
      <c r="AJ62" s="10"/>
      <c r="AK62" s="1"/>
      <c r="AL62" s="1"/>
      <c r="AM62" s="1"/>
      <c r="AN62" s="2"/>
      <c r="AO62" s="18"/>
      <c r="AP62" s="8"/>
      <c r="AQ62" s="1"/>
      <c r="AR62" s="1"/>
      <c r="AS62" s="2"/>
      <c r="AT62" s="1"/>
      <c r="AU62" s="9"/>
      <c r="AV62" s="8"/>
      <c r="AW62" s="1"/>
      <c r="AX62" s="1"/>
      <c r="AY62" s="2"/>
      <c r="AZ62" s="1"/>
      <c r="BA62" s="9"/>
      <c r="BB62" s="10"/>
      <c r="BC62" s="1"/>
      <c r="BD62" s="1"/>
      <c r="BE62" s="1"/>
      <c r="BF62" s="2"/>
      <c r="BG62" s="1"/>
      <c r="BH62" s="10"/>
      <c r="BI62" s="1"/>
      <c r="BJ62" s="1"/>
      <c r="BK62" s="2"/>
      <c r="BL62" s="1"/>
      <c r="BM62" s="9"/>
      <c r="BN62" s="10"/>
      <c r="BO62" s="1"/>
      <c r="BP62" s="1"/>
      <c r="BQ62" s="1"/>
      <c r="BR62" s="2"/>
      <c r="BS62" s="18"/>
      <c r="BT62" s="8"/>
      <c r="BU62" s="1"/>
      <c r="BV62" s="1"/>
      <c r="BW62" s="2"/>
      <c r="BX62" s="1"/>
      <c r="BY62" s="9"/>
      <c r="BZ62" s="10"/>
      <c r="CA62" s="1"/>
      <c r="CB62" s="1"/>
      <c r="CC62" s="1"/>
      <c r="CD62" s="2"/>
      <c r="CE62" s="18"/>
      <c r="CF62" s="10"/>
      <c r="CG62" s="1"/>
      <c r="CH62" s="1"/>
      <c r="CI62" s="1"/>
      <c r="CJ62" s="2"/>
      <c r="CK62" s="18"/>
      <c r="CL62" s="10"/>
      <c r="CM62" s="1"/>
      <c r="CN62" s="1"/>
      <c r="CO62" s="1"/>
      <c r="CP62" s="2"/>
      <c r="CQ62" s="18"/>
      <c r="CR62" s="10"/>
      <c r="CS62" s="1"/>
      <c r="CT62" s="1"/>
      <c r="CU62" s="1"/>
      <c r="CV62" s="2"/>
      <c r="CW62" s="18"/>
      <c r="CX62" s="8"/>
      <c r="CY62" s="1"/>
      <c r="CZ62" s="1"/>
      <c r="DA62" s="1"/>
      <c r="DB62" s="2"/>
      <c r="DC62" s="18"/>
      <c r="DD62" s="8"/>
      <c r="DE62" s="1"/>
      <c r="DF62" s="1"/>
      <c r="DG62" s="1"/>
      <c r="DH62" s="1"/>
      <c r="DI62" s="2"/>
      <c r="DJ62" s="60"/>
      <c r="DK62" s="1"/>
      <c r="DL62" s="1"/>
      <c r="DM62" s="1"/>
      <c r="DN62" s="1"/>
      <c r="DO62" s="61"/>
      <c r="DP62" s="10"/>
      <c r="DQ62" s="1"/>
      <c r="DR62" s="1"/>
      <c r="DS62" s="1"/>
      <c r="DT62" s="1"/>
      <c r="DU62" s="61"/>
      <c r="DV62" s="60"/>
      <c r="DW62" s="1"/>
      <c r="DX62" s="1"/>
      <c r="DY62" s="1"/>
      <c r="DZ62" s="1"/>
      <c r="EA62" s="61"/>
      <c r="EB62" s="10"/>
      <c r="EC62" s="1"/>
      <c r="ED62" s="1"/>
      <c r="EE62" s="1"/>
      <c r="EF62" s="1"/>
      <c r="EG62" s="61"/>
      <c r="EH62" s="10"/>
      <c r="EI62" s="1"/>
      <c r="EJ62" s="1"/>
      <c r="EK62" s="1"/>
      <c r="EL62" s="2"/>
      <c r="EM62" s="1"/>
      <c r="EN62" s="51">
        <f>SUM(L62,R62,X62,AD62,AJ62,AP62,AV62,BB62,BH62,BN62,BT62,BZ62,CF62,CL62,CR62,CX62,DD62,DJ62,DP62,DV62,EB62,EH62)/BULLETIN!$B$38*100</f>
        <v>0</v>
      </c>
      <c r="EO62" s="52" t="str">
        <f t="shared" si="0"/>
        <v>10e</v>
      </c>
      <c r="EP62" s="51">
        <f>SUM(M62,S62,Y62,AE62,AK62,AQ62,AW62,BC62,BI62,BO62,BU62,CA62,CG62,CS62,CY62,DE62,DK62,DQ62,EC62,EI62,CM62,DW62)/BULLETIN!$C$38*100</f>
        <v>0</v>
      </c>
      <c r="EQ62" s="52" t="str">
        <f t="shared" si="1"/>
        <v>10e</v>
      </c>
      <c r="ER62" s="51">
        <f>SUM(N62,T62,Z62,AF62,AL62,AR62,AX62,BD62,BJ62,BP62,BV62,CB62,CH62,CT62,CZ62,DF62,DL62,DR62,ED62,EJ62,CN62,DX62)/BULLETIN!$D$38*100</f>
        <v>0</v>
      </c>
      <c r="ES62" s="52" t="str">
        <f t="shared" si="2"/>
        <v>10e</v>
      </c>
      <c r="ET62" s="51">
        <f>SUM(L62:N62,R62:T62,X62:Z62,AD62:AF62,AJ62:AL62,AP62:AR62,AV62:AX62,BB62:BD62,BH62:BJ62,BN62:BP62,BT62:BV62,BZ62:CB62,CF62:CH62,CR62:CT62,CX62:CZ62,DD62:DF62,DJ62:DL62,DP62:DR62,EB62:ED62,EH62:EJ62,CL62:CN62,DV62:DX62)/BULLETIN!$E$38*100</f>
        <v>0</v>
      </c>
      <c r="EU62" s="52" t="str">
        <f t="shared" si="3"/>
        <v>10e</v>
      </c>
      <c r="EV62" s="51">
        <f>SUM(O62,U62,AA62,AG62,AM62,AS62,AY62,BE62,BK62,BQ62,BW62,CC62,CI62,CU62,DA62,DG62,DM62,DS62,EE62,EK62,CO62,DY62)/BULLETIN!$F$38*100</f>
        <v>0</v>
      </c>
      <c r="EW62" s="52" t="str">
        <f t="shared" si="4"/>
        <v>10e</v>
      </c>
      <c r="EX62" s="51">
        <f>SUM(P62,V62,AB62,AH62,AN62,AT62,AZ62,BF62,BL62,BR62,BX62,CD62,CJ62,CV62,DB62,DH62,DN62,DS62,EF62,EL62,CP62,DZ62)/BULLETIN!$G$38*100</f>
        <v>0</v>
      </c>
      <c r="EY62" s="52" t="str">
        <f t="shared" si="5"/>
        <v>10e</v>
      </c>
      <c r="EZ62" s="51">
        <f>SUM(Q62,W62,AC62,AI62,AO62,AU62,BA62,BG62,BM62,BS62,BY62,CE62,CK62,CW62,DC62,DI62,DO62,DU62,EG62,EM62,EA62,CQ62)/BULLETIN!$H$38*100</f>
        <v>0</v>
      </c>
      <c r="FA62" s="52" t="str">
        <f t="shared" si="6"/>
        <v>10e</v>
      </c>
      <c r="FB62" s="51">
        <f>SUM(O62:Q62,U62:W62,AA62:AC62,AG62:AI62,AM62:AO62,AS62:AU62,AY62:BA62,BE62:BG62,BK62:BM62,BQ62:BS62,BW62:BY62,CC62:CE62,CI62:CK62,CU62:CW62,DA62:DC62,DM62:DO62,DS62:DU62,EE62:EG62,EK62:EM62,DG62:DI62,CO62:CQ62,DY62:EA62)/BULLETIN!$I$38*100</f>
        <v>0</v>
      </c>
      <c r="FC62" s="52" t="str">
        <f t="shared" si="7"/>
        <v>10e</v>
      </c>
      <c r="FD62" s="51">
        <f>SUM(L62:EM62)/BULLETIN!$J$38*100</f>
        <v>0</v>
      </c>
      <c r="FE62" s="52" t="str">
        <f t="shared" si="8"/>
        <v>10e</v>
      </c>
    </row>
    <row r="63" spans="1:161" ht="15.5" x14ac:dyDescent="0.35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6"/>
      <c r="L63" s="8"/>
      <c r="M63" s="1"/>
      <c r="N63" s="1"/>
      <c r="O63" s="1"/>
      <c r="P63" s="1"/>
      <c r="Q63" s="9"/>
      <c r="R63" s="10"/>
      <c r="S63" s="1"/>
      <c r="T63" s="1"/>
      <c r="U63" s="1"/>
      <c r="V63" s="2"/>
      <c r="W63" s="18"/>
      <c r="X63" s="8"/>
      <c r="Y63" s="1"/>
      <c r="Z63" s="1"/>
      <c r="AA63" s="1"/>
      <c r="AB63" s="1"/>
      <c r="AC63" s="9"/>
      <c r="AD63" s="8"/>
      <c r="AE63" s="1"/>
      <c r="AF63" s="1"/>
      <c r="AG63" s="1"/>
      <c r="AH63" s="1"/>
      <c r="AI63" s="9"/>
      <c r="AJ63" s="10"/>
      <c r="AK63" s="1"/>
      <c r="AL63" s="1"/>
      <c r="AM63" s="1"/>
      <c r="AN63" s="2"/>
      <c r="AO63" s="18"/>
      <c r="AP63" s="8"/>
      <c r="AQ63" s="1"/>
      <c r="AR63" s="1"/>
      <c r="AS63" s="2"/>
      <c r="AT63" s="1"/>
      <c r="AU63" s="9"/>
      <c r="AV63" s="8"/>
      <c r="AW63" s="1"/>
      <c r="AX63" s="1"/>
      <c r="AY63" s="2"/>
      <c r="AZ63" s="1"/>
      <c r="BA63" s="9"/>
      <c r="BB63" s="10"/>
      <c r="BC63" s="1"/>
      <c r="BD63" s="1"/>
      <c r="BE63" s="1"/>
      <c r="BF63" s="2"/>
      <c r="BG63" s="1"/>
      <c r="BH63" s="10"/>
      <c r="BI63" s="1"/>
      <c r="BJ63" s="1"/>
      <c r="BK63" s="2"/>
      <c r="BL63" s="1"/>
      <c r="BM63" s="9"/>
      <c r="BN63" s="10"/>
      <c r="BO63" s="1"/>
      <c r="BP63" s="1"/>
      <c r="BQ63" s="1"/>
      <c r="BR63" s="2"/>
      <c r="BS63" s="18"/>
      <c r="BT63" s="8"/>
      <c r="BU63" s="1"/>
      <c r="BV63" s="1"/>
      <c r="BW63" s="2"/>
      <c r="BX63" s="1"/>
      <c r="BY63" s="9"/>
      <c r="BZ63" s="10"/>
      <c r="CA63" s="1"/>
      <c r="CB63" s="1"/>
      <c r="CC63" s="1"/>
      <c r="CD63" s="2"/>
      <c r="CE63" s="18"/>
      <c r="CF63" s="10"/>
      <c r="CG63" s="1"/>
      <c r="CH63" s="1"/>
      <c r="CI63" s="1"/>
      <c r="CJ63" s="2"/>
      <c r="CK63" s="18"/>
      <c r="CL63" s="10"/>
      <c r="CM63" s="1"/>
      <c r="CN63" s="1"/>
      <c r="CO63" s="1"/>
      <c r="CP63" s="2"/>
      <c r="CQ63" s="18"/>
      <c r="CR63" s="10"/>
      <c r="CS63" s="1"/>
      <c r="CT63" s="1"/>
      <c r="CU63" s="1"/>
      <c r="CV63" s="2"/>
      <c r="CW63" s="18"/>
      <c r="CX63" s="8"/>
      <c r="CY63" s="1"/>
      <c r="CZ63" s="1"/>
      <c r="DA63" s="1"/>
      <c r="DB63" s="2"/>
      <c r="DC63" s="18"/>
      <c r="DD63" s="8"/>
      <c r="DE63" s="1"/>
      <c r="DF63" s="1"/>
      <c r="DG63" s="1"/>
      <c r="DH63" s="1"/>
      <c r="DI63" s="2"/>
      <c r="DJ63" s="60"/>
      <c r="DK63" s="1"/>
      <c r="DL63" s="1"/>
      <c r="DM63" s="1"/>
      <c r="DN63" s="1"/>
      <c r="DO63" s="61"/>
      <c r="DP63" s="10"/>
      <c r="DQ63" s="1"/>
      <c r="DR63" s="1"/>
      <c r="DS63" s="1"/>
      <c r="DT63" s="1"/>
      <c r="DU63" s="61"/>
      <c r="DV63" s="60"/>
      <c r="DW63" s="1"/>
      <c r="DX63" s="1"/>
      <c r="DY63" s="1"/>
      <c r="DZ63" s="1"/>
      <c r="EA63" s="61"/>
      <c r="EB63" s="10"/>
      <c r="EC63" s="1"/>
      <c r="ED63" s="1"/>
      <c r="EE63" s="1"/>
      <c r="EF63" s="1"/>
      <c r="EG63" s="61"/>
      <c r="EH63" s="10"/>
      <c r="EI63" s="1"/>
      <c r="EJ63" s="1"/>
      <c r="EK63" s="1"/>
      <c r="EL63" s="2"/>
      <c r="EM63" s="1"/>
      <c r="EN63" s="51">
        <f>SUM(L63,R63,X63,AD63,AJ63,AP63,AV63,BB63,BH63,BN63,BT63,BZ63,CF63,CL63,CR63,CX63,DD63,DJ63,DP63,DV63,EB63,EH63)/BULLETIN!$B$38*100</f>
        <v>0</v>
      </c>
      <c r="EO63" s="52" t="str">
        <f t="shared" si="0"/>
        <v>10e</v>
      </c>
      <c r="EP63" s="51">
        <f>SUM(M63,S63,Y63,AE63,AK63,AQ63,AW63,BC63,BI63,BO63,BU63,CA63,CG63,CS63,CY63,DE63,DK63,DQ63,EC63,EI63,CM63,DW63)/BULLETIN!$C$38*100</f>
        <v>0</v>
      </c>
      <c r="EQ63" s="52" t="str">
        <f t="shared" si="1"/>
        <v>10e</v>
      </c>
      <c r="ER63" s="51">
        <f>SUM(N63,T63,Z63,AF63,AL63,AR63,AX63,BD63,BJ63,BP63,BV63,CB63,CH63,CT63,CZ63,DF63,DL63,DR63,ED63,EJ63,CN63,DX63)/BULLETIN!$D$38*100</f>
        <v>0</v>
      </c>
      <c r="ES63" s="52" t="str">
        <f t="shared" si="2"/>
        <v>10e</v>
      </c>
      <c r="ET63" s="51">
        <f>SUM(L63:N63,R63:T63,X63:Z63,AD63:AF63,AJ63:AL63,AP63:AR63,AV63:AX63,BB63:BD63,BH63:BJ63,BN63:BP63,BT63:BV63,BZ63:CB63,CF63:CH63,CR63:CT63,CX63:CZ63,DD63:DF63,DJ63:DL63,DP63:DR63,EB63:ED63,EH63:EJ63,CL63:CN63,DV63:DX63)/BULLETIN!$E$38*100</f>
        <v>0</v>
      </c>
      <c r="EU63" s="52" t="str">
        <f t="shared" si="3"/>
        <v>10e</v>
      </c>
      <c r="EV63" s="51">
        <f>SUM(O63,U63,AA63,AG63,AM63,AS63,AY63,BE63,BK63,BQ63,BW63,CC63,CI63,CU63,DA63,DG63,DM63,DS63,EE63,EK63,CO63,DY63)/BULLETIN!$F$38*100</f>
        <v>0</v>
      </c>
      <c r="EW63" s="52" t="str">
        <f t="shared" si="4"/>
        <v>10e</v>
      </c>
      <c r="EX63" s="51">
        <f>SUM(P63,V63,AB63,AH63,AN63,AT63,AZ63,BF63,BL63,BR63,BX63,CD63,CJ63,CV63,DB63,DH63,DN63,DS63,EF63,EL63,CP63,DZ63)/BULLETIN!$G$38*100</f>
        <v>0</v>
      </c>
      <c r="EY63" s="52" t="str">
        <f t="shared" si="5"/>
        <v>10e</v>
      </c>
      <c r="EZ63" s="51">
        <f>SUM(Q63,W63,AC63,AI63,AO63,AU63,BA63,BG63,BM63,BS63,BY63,CE63,CK63,CW63,DC63,DI63,DO63,DU63,EG63,EM63,EA63,CQ63)/BULLETIN!$H$38*100</f>
        <v>0</v>
      </c>
      <c r="FA63" s="52" t="str">
        <f t="shared" si="6"/>
        <v>10e</v>
      </c>
      <c r="FB63" s="51">
        <f>SUM(O63:Q63,U63:W63,AA63:AC63,AG63:AI63,AM63:AO63,AS63:AU63,AY63:BA63,BE63:BG63,BK63:BM63,BQ63:BS63,BW63:BY63,CC63:CE63,CI63:CK63,CU63:CW63,DA63:DC63,DM63:DO63,DS63:DU63,EE63:EG63,EK63:EM63,DG63:DI63,CO63:CQ63,DY63:EA63)/BULLETIN!$I$38*100</f>
        <v>0</v>
      </c>
      <c r="FC63" s="52" t="str">
        <f t="shared" si="7"/>
        <v>10e</v>
      </c>
      <c r="FD63" s="51">
        <f>SUM(L63:EM63)/BULLETIN!$J$38*100</f>
        <v>0</v>
      </c>
      <c r="FE63" s="52" t="str">
        <f t="shared" si="8"/>
        <v>10e</v>
      </c>
    </row>
    <row r="64" spans="1:161" ht="15.5" x14ac:dyDescent="0.35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6"/>
      <c r="L64" s="8"/>
      <c r="M64" s="1"/>
      <c r="N64" s="1"/>
      <c r="O64" s="1"/>
      <c r="P64" s="1"/>
      <c r="Q64" s="9"/>
      <c r="R64" s="10"/>
      <c r="S64" s="1"/>
      <c r="T64" s="1"/>
      <c r="U64" s="1"/>
      <c r="V64" s="2"/>
      <c r="W64" s="18"/>
      <c r="X64" s="8"/>
      <c r="Y64" s="1"/>
      <c r="Z64" s="1"/>
      <c r="AA64" s="1"/>
      <c r="AB64" s="1"/>
      <c r="AC64" s="9"/>
      <c r="AD64" s="8"/>
      <c r="AE64" s="1"/>
      <c r="AF64" s="1"/>
      <c r="AG64" s="1"/>
      <c r="AH64" s="1"/>
      <c r="AI64" s="9"/>
      <c r="AJ64" s="10"/>
      <c r="AK64" s="1"/>
      <c r="AL64" s="1"/>
      <c r="AM64" s="1"/>
      <c r="AN64" s="2"/>
      <c r="AO64" s="18"/>
      <c r="AP64" s="8"/>
      <c r="AQ64" s="1"/>
      <c r="AR64" s="1"/>
      <c r="AS64" s="2"/>
      <c r="AT64" s="1"/>
      <c r="AU64" s="9"/>
      <c r="AV64" s="8"/>
      <c r="AW64" s="1"/>
      <c r="AX64" s="1"/>
      <c r="AY64" s="2"/>
      <c r="AZ64" s="1"/>
      <c r="BA64" s="9"/>
      <c r="BB64" s="10"/>
      <c r="BC64" s="1"/>
      <c r="BD64" s="1"/>
      <c r="BE64" s="1"/>
      <c r="BF64" s="2"/>
      <c r="BG64" s="1"/>
      <c r="BH64" s="10"/>
      <c r="BI64" s="1"/>
      <c r="BJ64" s="1"/>
      <c r="BK64" s="2"/>
      <c r="BL64" s="1"/>
      <c r="BM64" s="9"/>
      <c r="BN64" s="10"/>
      <c r="BO64" s="1"/>
      <c r="BP64" s="1"/>
      <c r="BQ64" s="1"/>
      <c r="BR64" s="2"/>
      <c r="BS64" s="18"/>
      <c r="BT64" s="8"/>
      <c r="BU64" s="1"/>
      <c r="BV64" s="1"/>
      <c r="BW64" s="2"/>
      <c r="BX64" s="1"/>
      <c r="BY64" s="9"/>
      <c r="BZ64" s="10"/>
      <c r="CA64" s="1"/>
      <c r="CB64" s="1"/>
      <c r="CC64" s="1"/>
      <c r="CD64" s="2"/>
      <c r="CE64" s="18"/>
      <c r="CF64" s="10"/>
      <c r="CG64" s="1"/>
      <c r="CH64" s="1"/>
      <c r="CI64" s="1"/>
      <c r="CJ64" s="2"/>
      <c r="CK64" s="18"/>
      <c r="CL64" s="10"/>
      <c r="CM64" s="1"/>
      <c r="CN64" s="1"/>
      <c r="CO64" s="1"/>
      <c r="CP64" s="2"/>
      <c r="CQ64" s="18"/>
      <c r="CR64" s="10"/>
      <c r="CS64" s="1"/>
      <c r="CT64" s="1"/>
      <c r="CU64" s="1"/>
      <c r="CV64" s="2"/>
      <c r="CW64" s="18"/>
      <c r="CX64" s="8"/>
      <c r="CY64" s="1"/>
      <c r="CZ64" s="1"/>
      <c r="DA64" s="1"/>
      <c r="DB64" s="2"/>
      <c r="DC64" s="18"/>
      <c r="DD64" s="8"/>
      <c r="DE64" s="1"/>
      <c r="DF64" s="1"/>
      <c r="DG64" s="1"/>
      <c r="DH64" s="1"/>
      <c r="DI64" s="2"/>
      <c r="DJ64" s="60"/>
      <c r="DK64" s="1"/>
      <c r="DL64" s="1"/>
      <c r="DM64" s="1"/>
      <c r="DN64" s="1"/>
      <c r="DO64" s="61"/>
      <c r="DP64" s="10"/>
      <c r="DQ64" s="1"/>
      <c r="DR64" s="1"/>
      <c r="DS64" s="1"/>
      <c r="DT64" s="1"/>
      <c r="DU64" s="61"/>
      <c r="DV64" s="60"/>
      <c r="DW64" s="1"/>
      <c r="DX64" s="1"/>
      <c r="DY64" s="1"/>
      <c r="DZ64" s="1"/>
      <c r="EA64" s="61"/>
      <c r="EB64" s="10"/>
      <c r="EC64" s="1"/>
      <c r="ED64" s="1"/>
      <c r="EE64" s="1"/>
      <c r="EF64" s="1"/>
      <c r="EG64" s="61"/>
      <c r="EH64" s="10"/>
      <c r="EI64" s="1"/>
      <c r="EJ64" s="1"/>
      <c r="EK64" s="1"/>
      <c r="EL64" s="2"/>
      <c r="EM64" s="1"/>
      <c r="EN64" s="51">
        <f>SUM(L64,R64,X64,AD64,AJ64,AP64,AV64,BB64,BH64,BN64,BT64,BZ64,CF64,CL64,CR64,CX64,DD64,DJ64,DP64,DV64,EB64,EH64)/BULLETIN!$B$38*100</f>
        <v>0</v>
      </c>
      <c r="EO64" s="52" t="str">
        <f t="shared" si="0"/>
        <v>10e</v>
      </c>
      <c r="EP64" s="51">
        <f>SUM(M64,S64,Y64,AE64,AK64,AQ64,AW64,BC64,BI64,BO64,BU64,CA64,CG64,CS64,CY64,DE64,DK64,DQ64,EC64,EI64,CM64,DW64)/BULLETIN!$C$38*100</f>
        <v>0</v>
      </c>
      <c r="EQ64" s="52" t="str">
        <f t="shared" si="1"/>
        <v>10e</v>
      </c>
      <c r="ER64" s="51">
        <f>SUM(N64,T64,Z64,AF64,AL64,AR64,AX64,BD64,BJ64,BP64,BV64,CB64,CH64,CT64,CZ64,DF64,DL64,DR64,ED64,EJ64,CN64,DX64)/BULLETIN!$D$38*100</f>
        <v>0</v>
      </c>
      <c r="ES64" s="52" t="str">
        <f t="shared" si="2"/>
        <v>10e</v>
      </c>
      <c r="ET64" s="51">
        <f>SUM(L64:N64,R64:T64,X64:Z64,AD64:AF64,AJ64:AL64,AP64:AR64,AV64:AX64,BB64:BD64,BH64:BJ64,BN64:BP64,BT64:BV64,BZ64:CB64,CF64:CH64,CR64:CT64,CX64:CZ64,DD64:DF64,DJ64:DL64,DP64:DR64,EB64:ED64,EH64:EJ64,CL64:CN64,DV64:DX64)/BULLETIN!$E$38*100</f>
        <v>0</v>
      </c>
      <c r="EU64" s="52" t="str">
        <f t="shared" si="3"/>
        <v>10e</v>
      </c>
      <c r="EV64" s="51">
        <f>SUM(O64,U64,AA64,AG64,AM64,AS64,AY64,BE64,BK64,BQ64,BW64,CC64,CI64,CU64,DA64,DG64,DM64,DS64,EE64,EK64,CO64,DY64)/BULLETIN!$F$38*100</f>
        <v>0</v>
      </c>
      <c r="EW64" s="52" t="str">
        <f t="shared" si="4"/>
        <v>10e</v>
      </c>
      <c r="EX64" s="51">
        <f>SUM(P64,V64,AB64,AH64,AN64,AT64,AZ64,BF64,BL64,BR64,BX64,CD64,CJ64,CV64,DB64,DH64,DN64,DS64,EF64,EL64,CP64,DZ64)/BULLETIN!$G$38*100</f>
        <v>0</v>
      </c>
      <c r="EY64" s="52" t="str">
        <f t="shared" si="5"/>
        <v>10e</v>
      </c>
      <c r="EZ64" s="51">
        <f>SUM(Q64,W64,AC64,AI64,AO64,AU64,BA64,BG64,BM64,BS64,BY64,CE64,CK64,CW64,DC64,DI64,DO64,DU64,EG64,EM64,EA64,CQ64)/BULLETIN!$H$38*100</f>
        <v>0</v>
      </c>
      <c r="FA64" s="52" t="str">
        <f t="shared" si="6"/>
        <v>10e</v>
      </c>
      <c r="FB64" s="51">
        <f>SUM(O64:Q64,U64:W64,AA64:AC64,AG64:AI64,AM64:AO64,AS64:AU64,AY64:BA64,BE64:BG64,BK64:BM64,BQ64:BS64,BW64:BY64,CC64:CE64,CI64:CK64,CU64:CW64,DA64:DC64,DM64:DO64,DS64:DU64,EE64:EG64,EK64:EM64,DG64:DI64,CO64:CQ64,DY64:EA64)/BULLETIN!$I$38*100</f>
        <v>0</v>
      </c>
      <c r="FC64" s="52" t="str">
        <f t="shared" si="7"/>
        <v>10e</v>
      </c>
      <c r="FD64" s="51">
        <f>SUM(L64:EM64)/BULLETIN!$J$38*100</f>
        <v>0</v>
      </c>
      <c r="FE64" s="52" t="str">
        <f t="shared" si="8"/>
        <v>10e</v>
      </c>
    </row>
    <row r="65" spans="1:161" ht="15.5" x14ac:dyDescent="0.35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6"/>
      <c r="L65" s="8"/>
      <c r="M65" s="1"/>
      <c r="N65" s="1"/>
      <c r="O65" s="1"/>
      <c r="P65" s="1"/>
      <c r="Q65" s="9"/>
      <c r="R65" s="10"/>
      <c r="S65" s="1"/>
      <c r="T65" s="1"/>
      <c r="U65" s="1"/>
      <c r="V65" s="2"/>
      <c r="W65" s="18"/>
      <c r="X65" s="8"/>
      <c r="Y65" s="1"/>
      <c r="Z65" s="1"/>
      <c r="AA65" s="1"/>
      <c r="AB65" s="1"/>
      <c r="AC65" s="9"/>
      <c r="AD65" s="8"/>
      <c r="AE65" s="1"/>
      <c r="AF65" s="1"/>
      <c r="AG65" s="1"/>
      <c r="AH65" s="1"/>
      <c r="AI65" s="9"/>
      <c r="AJ65" s="10"/>
      <c r="AK65" s="1"/>
      <c r="AL65" s="1"/>
      <c r="AM65" s="1"/>
      <c r="AN65" s="2"/>
      <c r="AO65" s="18"/>
      <c r="AP65" s="8"/>
      <c r="AQ65" s="1"/>
      <c r="AR65" s="1"/>
      <c r="AS65" s="2"/>
      <c r="AT65" s="1"/>
      <c r="AU65" s="9"/>
      <c r="AV65" s="8"/>
      <c r="AW65" s="1"/>
      <c r="AX65" s="1"/>
      <c r="AY65" s="2"/>
      <c r="AZ65" s="1"/>
      <c r="BA65" s="9"/>
      <c r="BB65" s="10"/>
      <c r="BC65" s="1"/>
      <c r="BD65" s="1"/>
      <c r="BE65" s="1"/>
      <c r="BF65" s="2"/>
      <c r="BG65" s="1"/>
      <c r="BH65" s="10"/>
      <c r="BI65" s="1"/>
      <c r="BJ65" s="1"/>
      <c r="BK65" s="2"/>
      <c r="BL65" s="1"/>
      <c r="BM65" s="9"/>
      <c r="BN65" s="10"/>
      <c r="BO65" s="1"/>
      <c r="BP65" s="1"/>
      <c r="BQ65" s="1"/>
      <c r="BR65" s="2"/>
      <c r="BS65" s="18"/>
      <c r="BT65" s="8"/>
      <c r="BU65" s="1"/>
      <c r="BV65" s="1"/>
      <c r="BW65" s="2"/>
      <c r="BX65" s="1"/>
      <c r="BY65" s="9"/>
      <c r="BZ65" s="10"/>
      <c r="CA65" s="1"/>
      <c r="CB65" s="1"/>
      <c r="CC65" s="1"/>
      <c r="CD65" s="2"/>
      <c r="CE65" s="18"/>
      <c r="CF65" s="10"/>
      <c r="CG65" s="1"/>
      <c r="CH65" s="1"/>
      <c r="CI65" s="1"/>
      <c r="CJ65" s="2"/>
      <c r="CK65" s="18"/>
      <c r="CL65" s="10"/>
      <c r="CM65" s="1"/>
      <c r="CN65" s="1"/>
      <c r="CO65" s="1"/>
      <c r="CP65" s="2"/>
      <c r="CQ65" s="18"/>
      <c r="CR65" s="10"/>
      <c r="CS65" s="1"/>
      <c r="CT65" s="1"/>
      <c r="CU65" s="1"/>
      <c r="CV65" s="2"/>
      <c r="CW65" s="18"/>
      <c r="CX65" s="8"/>
      <c r="CY65" s="1"/>
      <c r="CZ65" s="1"/>
      <c r="DA65" s="1"/>
      <c r="DB65" s="2"/>
      <c r="DC65" s="18"/>
      <c r="DD65" s="8"/>
      <c r="DE65" s="1"/>
      <c r="DF65" s="1"/>
      <c r="DG65" s="1"/>
      <c r="DH65" s="1"/>
      <c r="DI65" s="2"/>
      <c r="DJ65" s="60"/>
      <c r="DK65" s="1"/>
      <c r="DL65" s="1"/>
      <c r="DM65" s="1"/>
      <c r="DN65" s="1"/>
      <c r="DO65" s="61"/>
      <c r="DP65" s="10"/>
      <c r="DQ65" s="1"/>
      <c r="DR65" s="1"/>
      <c r="DS65" s="1"/>
      <c r="DT65" s="1"/>
      <c r="DU65" s="61"/>
      <c r="DV65" s="60"/>
      <c r="DW65" s="1"/>
      <c r="DX65" s="1"/>
      <c r="DY65" s="1"/>
      <c r="DZ65" s="1"/>
      <c r="EA65" s="61"/>
      <c r="EB65" s="10"/>
      <c r="EC65" s="1"/>
      <c r="ED65" s="1"/>
      <c r="EE65" s="1"/>
      <c r="EF65" s="1"/>
      <c r="EG65" s="61"/>
      <c r="EH65" s="10"/>
      <c r="EI65" s="1"/>
      <c r="EJ65" s="1"/>
      <c r="EK65" s="1"/>
      <c r="EL65" s="2"/>
      <c r="EM65" s="1"/>
      <c r="EN65" s="51">
        <f>SUM(L65,R65,X65,AD65,AJ65,AP65,AV65,BB65,BH65,BN65,BT65,BZ65,CF65,CL65,CR65,CX65,DD65,DJ65,DP65,DV65,EB65,EH65)/BULLETIN!$B$38*100</f>
        <v>0</v>
      </c>
      <c r="EO65" s="52" t="str">
        <f t="shared" si="0"/>
        <v>10e</v>
      </c>
      <c r="EP65" s="51">
        <f>SUM(M65,S65,Y65,AE65,AK65,AQ65,AW65,BC65,BI65,BO65,BU65,CA65,CG65,CS65,CY65,DE65,DK65,DQ65,EC65,EI65,CM65,DW65)/BULLETIN!$C$38*100</f>
        <v>0</v>
      </c>
      <c r="EQ65" s="52" t="str">
        <f t="shared" si="1"/>
        <v>10e</v>
      </c>
      <c r="ER65" s="51">
        <f>SUM(N65,T65,Z65,AF65,AL65,AR65,AX65,BD65,BJ65,BP65,BV65,CB65,CH65,CT65,CZ65,DF65,DL65,DR65,ED65,EJ65,CN65,DX65)/BULLETIN!$D$38*100</f>
        <v>0</v>
      </c>
      <c r="ES65" s="52" t="str">
        <f t="shared" si="2"/>
        <v>10e</v>
      </c>
      <c r="ET65" s="51">
        <f>SUM(L65:N65,R65:T65,X65:Z65,AD65:AF65,AJ65:AL65,AP65:AR65,AV65:AX65,BB65:BD65,BH65:BJ65,BN65:BP65,BT65:BV65,BZ65:CB65,CF65:CH65,CR65:CT65,CX65:CZ65,DD65:DF65,DJ65:DL65,DP65:DR65,EB65:ED65,EH65:EJ65,CL65:CN65,DV65:DX65)/BULLETIN!$E$38*100</f>
        <v>0</v>
      </c>
      <c r="EU65" s="52" t="str">
        <f t="shared" si="3"/>
        <v>10e</v>
      </c>
      <c r="EV65" s="51">
        <f>SUM(O65,U65,AA65,AG65,AM65,AS65,AY65,BE65,BK65,BQ65,BW65,CC65,CI65,CU65,DA65,DG65,DM65,DS65,EE65,EK65,CO65,DY65)/BULLETIN!$F$38*100</f>
        <v>0</v>
      </c>
      <c r="EW65" s="52" t="str">
        <f t="shared" si="4"/>
        <v>10e</v>
      </c>
      <c r="EX65" s="51">
        <f>SUM(P65,V65,AB65,AH65,AN65,AT65,AZ65,BF65,BL65,BR65,BX65,CD65,CJ65,CV65,DB65,DH65,DN65,DS65,EF65,EL65,CP65,DZ65)/BULLETIN!$G$38*100</f>
        <v>0</v>
      </c>
      <c r="EY65" s="52" t="str">
        <f t="shared" si="5"/>
        <v>10e</v>
      </c>
      <c r="EZ65" s="51">
        <f>SUM(Q65,W65,AC65,AI65,AO65,AU65,BA65,BG65,BM65,BS65,BY65,CE65,CK65,CW65,DC65,DI65,DO65,DU65,EG65,EM65,EA65,CQ65)/BULLETIN!$H$38*100</f>
        <v>0</v>
      </c>
      <c r="FA65" s="52" t="str">
        <f t="shared" si="6"/>
        <v>10e</v>
      </c>
      <c r="FB65" s="51">
        <f>SUM(O65:Q65,U65:W65,AA65:AC65,AG65:AI65,AM65:AO65,AS65:AU65,AY65:BA65,BE65:BG65,BK65:BM65,BQ65:BS65,BW65:BY65,CC65:CE65,CI65:CK65,CU65:CW65,DA65:DC65,DM65:DO65,DS65:DU65,EE65:EG65,EK65:EM65,DG65:DI65,CO65:CQ65,DY65:EA65)/BULLETIN!$I$38*100</f>
        <v>0</v>
      </c>
      <c r="FC65" s="52" t="str">
        <f t="shared" si="7"/>
        <v>10e</v>
      </c>
      <c r="FD65" s="51">
        <f>SUM(L65:EM65)/BULLETIN!$J$38*100</f>
        <v>0</v>
      </c>
      <c r="FE65" s="52" t="str">
        <f t="shared" si="8"/>
        <v>10e</v>
      </c>
    </row>
    <row r="66" spans="1:161" ht="15.5" x14ac:dyDescent="0.35">
      <c r="A66" s="13"/>
      <c r="B66" s="14"/>
      <c r="C66" s="14"/>
      <c r="D66" s="14"/>
      <c r="E66" s="14"/>
      <c r="F66" s="14"/>
      <c r="G66" s="14"/>
      <c r="H66" s="14"/>
      <c r="I66" s="14"/>
      <c r="J66" s="14"/>
      <c r="K66" s="16"/>
      <c r="L66" s="8"/>
      <c r="M66" s="1"/>
      <c r="N66" s="1"/>
      <c r="O66" s="1"/>
      <c r="P66" s="1"/>
      <c r="Q66" s="9"/>
      <c r="R66" s="10"/>
      <c r="S66" s="1"/>
      <c r="T66" s="1"/>
      <c r="U66" s="1"/>
      <c r="V66" s="2"/>
      <c r="W66" s="18"/>
      <c r="X66" s="8"/>
      <c r="Y66" s="1"/>
      <c r="Z66" s="1"/>
      <c r="AA66" s="1"/>
      <c r="AB66" s="1"/>
      <c r="AC66" s="9"/>
      <c r="AD66" s="8"/>
      <c r="AE66" s="1"/>
      <c r="AF66" s="1"/>
      <c r="AG66" s="1"/>
      <c r="AH66" s="1"/>
      <c r="AI66" s="9"/>
      <c r="AJ66" s="10"/>
      <c r="AK66" s="1"/>
      <c r="AL66" s="1"/>
      <c r="AM66" s="1"/>
      <c r="AN66" s="2"/>
      <c r="AO66" s="18"/>
      <c r="AP66" s="8"/>
      <c r="AQ66" s="1"/>
      <c r="AR66" s="1"/>
      <c r="AS66" s="2"/>
      <c r="AT66" s="1"/>
      <c r="AU66" s="9"/>
      <c r="AV66" s="8"/>
      <c r="AW66" s="1"/>
      <c r="AX66" s="1"/>
      <c r="AY66" s="2"/>
      <c r="AZ66" s="1"/>
      <c r="BA66" s="9"/>
      <c r="BB66" s="10"/>
      <c r="BC66" s="1"/>
      <c r="BD66" s="1"/>
      <c r="BE66" s="1"/>
      <c r="BF66" s="2"/>
      <c r="BG66" s="1"/>
      <c r="BH66" s="10"/>
      <c r="BI66" s="1"/>
      <c r="BJ66" s="1"/>
      <c r="BK66" s="2"/>
      <c r="BL66" s="1"/>
      <c r="BM66" s="9"/>
      <c r="BN66" s="10"/>
      <c r="BO66" s="1"/>
      <c r="BP66" s="1"/>
      <c r="BQ66" s="1"/>
      <c r="BR66" s="2"/>
      <c r="BS66" s="18"/>
      <c r="BT66" s="8"/>
      <c r="BU66" s="1"/>
      <c r="BV66" s="1"/>
      <c r="BW66" s="2"/>
      <c r="BX66" s="1"/>
      <c r="BY66" s="9"/>
      <c r="BZ66" s="10"/>
      <c r="CA66" s="1"/>
      <c r="CB66" s="1"/>
      <c r="CC66" s="1"/>
      <c r="CD66" s="2"/>
      <c r="CE66" s="18"/>
      <c r="CF66" s="10"/>
      <c r="CG66" s="1"/>
      <c r="CH66" s="1"/>
      <c r="CI66" s="1"/>
      <c r="CJ66" s="2"/>
      <c r="CK66" s="18"/>
      <c r="CL66" s="10"/>
      <c r="CM66" s="1"/>
      <c r="CN66" s="1"/>
      <c r="CO66" s="1"/>
      <c r="CP66" s="2"/>
      <c r="CQ66" s="18"/>
      <c r="CR66" s="10"/>
      <c r="CS66" s="1"/>
      <c r="CT66" s="1"/>
      <c r="CU66" s="1"/>
      <c r="CV66" s="2"/>
      <c r="CW66" s="18"/>
      <c r="CX66" s="8"/>
      <c r="CY66" s="1"/>
      <c r="CZ66" s="1"/>
      <c r="DA66" s="1"/>
      <c r="DB66" s="2"/>
      <c r="DC66" s="18"/>
      <c r="DD66" s="8"/>
      <c r="DE66" s="1"/>
      <c r="DF66" s="1"/>
      <c r="DG66" s="1"/>
      <c r="DH66" s="1"/>
      <c r="DI66" s="2"/>
      <c r="DJ66" s="60"/>
      <c r="DK66" s="1"/>
      <c r="DL66" s="1"/>
      <c r="DM66" s="1"/>
      <c r="DN66" s="1"/>
      <c r="DO66" s="61"/>
      <c r="DP66" s="10"/>
      <c r="DQ66" s="1"/>
      <c r="DR66" s="1"/>
      <c r="DS66" s="1"/>
      <c r="DT66" s="1"/>
      <c r="DU66" s="61"/>
      <c r="DV66" s="60"/>
      <c r="DW66" s="1"/>
      <c r="DX66" s="1"/>
      <c r="DY66" s="1"/>
      <c r="DZ66" s="1"/>
      <c r="EA66" s="61"/>
      <c r="EB66" s="10"/>
      <c r="EC66" s="1"/>
      <c r="ED66" s="1"/>
      <c r="EE66" s="1"/>
      <c r="EF66" s="1"/>
      <c r="EG66" s="61"/>
      <c r="EH66" s="10"/>
      <c r="EI66" s="1"/>
      <c r="EJ66" s="1"/>
      <c r="EK66" s="1"/>
      <c r="EL66" s="2"/>
      <c r="EM66" s="1"/>
      <c r="EN66" s="51">
        <f>SUM(L66,R66,X66,AD66,AJ66,AP66,AV66,BB66,BH66,BN66,BT66,BZ66,CF66,CL66,CR66,CX66,DD66,DJ66,DP66,DV66,EB66,EH66)/BULLETIN!$B$38*100</f>
        <v>0</v>
      </c>
      <c r="EO66" s="52" t="str">
        <f t="shared" si="0"/>
        <v>10e</v>
      </c>
      <c r="EP66" s="51">
        <f>SUM(M66,S66,Y66,AE66,AK66,AQ66,AW66,BC66,BI66,BO66,BU66,CA66,CG66,CS66,CY66,DE66,DK66,DQ66,EC66,EI66,CM66,DW66)/BULLETIN!$C$38*100</f>
        <v>0</v>
      </c>
      <c r="EQ66" s="52" t="str">
        <f t="shared" si="1"/>
        <v>10e</v>
      </c>
      <c r="ER66" s="51">
        <f>SUM(N66,T66,Z66,AF66,AL66,AR66,AX66,BD66,BJ66,BP66,BV66,CB66,CH66,CT66,CZ66,DF66,DL66,DR66,ED66,EJ66,CN66,DX66)/BULLETIN!$D$38*100</f>
        <v>0</v>
      </c>
      <c r="ES66" s="52" t="str">
        <f t="shared" si="2"/>
        <v>10e</v>
      </c>
      <c r="ET66" s="51">
        <f>SUM(L66:N66,R66:T66,X66:Z66,AD66:AF66,AJ66:AL66,AP66:AR66,AV66:AX66,BB66:BD66,BH66:BJ66,BN66:BP66,BT66:BV66,BZ66:CB66,CF66:CH66,CR66:CT66,CX66:CZ66,DD66:DF66,DJ66:DL66,DP66:DR66,EB66:ED66,EH66:EJ66,CL66:CN66,DV66:DX66)/BULLETIN!$E$38*100</f>
        <v>0</v>
      </c>
      <c r="EU66" s="52" t="str">
        <f t="shared" si="3"/>
        <v>10e</v>
      </c>
      <c r="EV66" s="51">
        <f>SUM(O66,U66,AA66,AG66,AM66,AS66,AY66,BE66,BK66,BQ66,BW66,CC66,CI66,CU66,DA66,DG66,DM66,DS66,EE66,EK66,CO66,DY66)/BULLETIN!$F$38*100</f>
        <v>0</v>
      </c>
      <c r="EW66" s="52" t="str">
        <f t="shared" si="4"/>
        <v>10e</v>
      </c>
      <c r="EX66" s="51">
        <f>SUM(P66,V66,AB66,AH66,AN66,AT66,AZ66,BF66,BL66,BR66,BX66,CD66,CJ66,CV66,DB66,DH66,DN66,DS66,EF66,EL66,CP66,DZ66)/BULLETIN!$G$38*100</f>
        <v>0</v>
      </c>
      <c r="EY66" s="52" t="str">
        <f t="shared" si="5"/>
        <v>10e</v>
      </c>
      <c r="EZ66" s="51">
        <f>SUM(Q66,W66,AC66,AI66,AO66,AU66,BA66,BG66,BM66,BS66,BY66,CE66,CK66,CW66,DC66,DI66,DO66,DU66,EG66,EM66,EA66,CQ66)/BULLETIN!$H$38*100</f>
        <v>0</v>
      </c>
      <c r="FA66" s="52" t="str">
        <f t="shared" si="6"/>
        <v>10e</v>
      </c>
      <c r="FB66" s="51">
        <f>SUM(O66:Q66,U66:W66,AA66:AC66,AG66:AI66,AM66:AO66,AS66:AU66,AY66:BA66,BE66:BG66,BK66:BM66,BQ66:BS66,BW66:BY66,CC66:CE66,CI66:CK66,CU66:CW66,DA66:DC66,DM66:DO66,DS66:DU66,EE66:EG66,EK66:EM66,DG66:DI66,CO66:CQ66,DY66:EA66)/BULLETIN!$I$38*100</f>
        <v>0</v>
      </c>
      <c r="FC66" s="52" t="str">
        <f t="shared" si="7"/>
        <v>10e</v>
      </c>
      <c r="FD66" s="51">
        <f>SUM(L66:EM66)/BULLETIN!$J$38*100</f>
        <v>0</v>
      </c>
      <c r="FE66" s="52" t="str">
        <f t="shared" si="8"/>
        <v>10e</v>
      </c>
    </row>
    <row r="67" spans="1:161" ht="15.5" x14ac:dyDescent="0.35">
      <c r="A67" s="13"/>
      <c r="B67" s="14"/>
      <c r="C67" s="14"/>
      <c r="D67" s="14"/>
      <c r="E67" s="14"/>
      <c r="F67" s="14"/>
      <c r="G67" s="14"/>
      <c r="H67" s="14"/>
      <c r="I67" s="14"/>
      <c r="J67" s="14"/>
      <c r="K67" s="16"/>
      <c r="L67" s="8"/>
      <c r="M67" s="1"/>
      <c r="N67" s="1"/>
      <c r="O67" s="1"/>
      <c r="P67" s="1"/>
      <c r="Q67" s="9"/>
      <c r="R67" s="10"/>
      <c r="S67" s="1"/>
      <c r="T67" s="1"/>
      <c r="U67" s="1"/>
      <c r="V67" s="2"/>
      <c r="W67" s="18"/>
      <c r="X67" s="8"/>
      <c r="Y67" s="1"/>
      <c r="Z67" s="1"/>
      <c r="AA67" s="1"/>
      <c r="AB67" s="1"/>
      <c r="AC67" s="9"/>
      <c r="AD67" s="8"/>
      <c r="AE67" s="1"/>
      <c r="AF67" s="1"/>
      <c r="AG67" s="1"/>
      <c r="AH67" s="1"/>
      <c r="AI67" s="9"/>
      <c r="AJ67" s="10"/>
      <c r="AK67" s="1"/>
      <c r="AL67" s="1"/>
      <c r="AM67" s="1"/>
      <c r="AN67" s="2"/>
      <c r="AO67" s="18"/>
      <c r="AP67" s="8"/>
      <c r="AQ67" s="1"/>
      <c r="AR67" s="1"/>
      <c r="AS67" s="2"/>
      <c r="AT67" s="1"/>
      <c r="AU67" s="9"/>
      <c r="AV67" s="8"/>
      <c r="AW67" s="1"/>
      <c r="AX67" s="1"/>
      <c r="AY67" s="2"/>
      <c r="AZ67" s="1"/>
      <c r="BA67" s="9"/>
      <c r="BB67" s="10"/>
      <c r="BC67" s="1"/>
      <c r="BD67" s="1"/>
      <c r="BE67" s="1"/>
      <c r="BF67" s="2"/>
      <c r="BG67" s="1"/>
      <c r="BH67" s="10"/>
      <c r="BI67" s="1"/>
      <c r="BJ67" s="1"/>
      <c r="BK67" s="2"/>
      <c r="BL67" s="1"/>
      <c r="BM67" s="9"/>
      <c r="BN67" s="10"/>
      <c r="BO67" s="1"/>
      <c r="BP67" s="1"/>
      <c r="BQ67" s="1"/>
      <c r="BR67" s="2"/>
      <c r="BS67" s="18"/>
      <c r="BT67" s="8"/>
      <c r="BU67" s="1"/>
      <c r="BV67" s="1"/>
      <c r="BW67" s="2"/>
      <c r="BX67" s="1"/>
      <c r="BY67" s="9"/>
      <c r="BZ67" s="10"/>
      <c r="CA67" s="1"/>
      <c r="CB67" s="1"/>
      <c r="CC67" s="1"/>
      <c r="CD67" s="2"/>
      <c r="CE67" s="18"/>
      <c r="CF67" s="10"/>
      <c r="CG67" s="1"/>
      <c r="CH67" s="1"/>
      <c r="CI67" s="1"/>
      <c r="CJ67" s="2"/>
      <c r="CK67" s="18"/>
      <c r="CL67" s="10"/>
      <c r="CM67" s="1"/>
      <c r="CN67" s="1"/>
      <c r="CO67" s="1"/>
      <c r="CP67" s="2"/>
      <c r="CQ67" s="18"/>
      <c r="CR67" s="10"/>
      <c r="CS67" s="1"/>
      <c r="CT67" s="1"/>
      <c r="CU67" s="1"/>
      <c r="CV67" s="2"/>
      <c r="CW67" s="18"/>
      <c r="CX67" s="8"/>
      <c r="CY67" s="1"/>
      <c r="CZ67" s="1"/>
      <c r="DA67" s="1"/>
      <c r="DB67" s="2"/>
      <c r="DC67" s="18"/>
      <c r="DD67" s="8"/>
      <c r="DE67" s="1"/>
      <c r="DF67" s="1"/>
      <c r="DG67" s="1"/>
      <c r="DH67" s="1"/>
      <c r="DI67" s="2"/>
      <c r="DJ67" s="60"/>
      <c r="DK67" s="1"/>
      <c r="DL67" s="1"/>
      <c r="DM67" s="1"/>
      <c r="DN67" s="1"/>
      <c r="DO67" s="61"/>
      <c r="DP67" s="10"/>
      <c r="DQ67" s="1"/>
      <c r="DR67" s="1"/>
      <c r="DS67" s="1"/>
      <c r="DT67" s="1"/>
      <c r="DU67" s="61"/>
      <c r="DV67" s="60"/>
      <c r="DW67" s="1"/>
      <c r="DX67" s="1"/>
      <c r="DY67" s="1"/>
      <c r="DZ67" s="1"/>
      <c r="EA67" s="61"/>
      <c r="EB67" s="10"/>
      <c r="EC67" s="1"/>
      <c r="ED67" s="1"/>
      <c r="EE67" s="1"/>
      <c r="EF67" s="1"/>
      <c r="EG67" s="61"/>
      <c r="EH67" s="10"/>
      <c r="EI67" s="1"/>
      <c r="EJ67" s="1"/>
      <c r="EK67" s="1"/>
      <c r="EL67" s="2"/>
      <c r="EM67" s="1"/>
      <c r="EN67" s="51">
        <f>SUM(L67,R67,X67,AD67,AJ67,AP67,AV67,BB67,BH67,BN67,BT67,BZ67,CF67,CL67,CR67,CX67,DD67,DJ67,DP67,DV67,EB67,EH67)/BULLETIN!$B$38*100</f>
        <v>0</v>
      </c>
      <c r="EO67" s="52" t="str">
        <f t="shared" si="0"/>
        <v>10e</v>
      </c>
      <c r="EP67" s="51">
        <f>SUM(M67,S67,Y67,AE67,AK67,AQ67,AW67,BC67,BI67,BO67,BU67,CA67,CG67,CS67,CY67,DE67,DK67,DQ67,EC67,EI67,CM67,DW67)/BULLETIN!$C$38*100</f>
        <v>0</v>
      </c>
      <c r="EQ67" s="52" t="str">
        <f t="shared" si="1"/>
        <v>10e</v>
      </c>
      <c r="ER67" s="51">
        <f>SUM(N67,T67,Z67,AF67,AL67,AR67,AX67,BD67,BJ67,BP67,BV67,CB67,CH67,CT67,CZ67,DF67,DL67,DR67,ED67,EJ67,CN67,DX67)/BULLETIN!$D$38*100</f>
        <v>0</v>
      </c>
      <c r="ES67" s="52" t="str">
        <f t="shared" si="2"/>
        <v>10e</v>
      </c>
      <c r="ET67" s="51">
        <f>SUM(L67:N67,R67:T67,X67:Z67,AD67:AF67,AJ67:AL67,AP67:AR67,AV67:AX67,BB67:BD67,BH67:BJ67,BN67:BP67,BT67:BV67,BZ67:CB67,CF67:CH67,CR67:CT67,CX67:CZ67,DD67:DF67,DJ67:DL67,DP67:DR67,EB67:ED67,EH67:EJ67,CL67:CN67,DV67:DX67)/BULLETIN!$E$38*100</f>
        <v>0</v>
      </c>
      <c r="EU67" s="52" t="str">
        <f t="shared" si="3"/>
        <v>10e</v>
      </c>
      <c r="EV67" s="51">
        <f>SUM(O67,U67,AA67,AG67,AM67,AS67,AY67,BE67,BK67,BQ67,BW67,CC67,CI67,CU67,DA67,DG67,DM67,DS67,EE67,EK67,CO67,DY67)/BULLETIN!$F$38*100</f>
        <v>0</v>
      </c>
      <c r="EW67" s="52" t="str">
        <f t="shared" si="4"/>
        <v>10e</v>
      </c>
      <c r="EX67" s="51">
        <f>SUM(P67,V67,AB67,AH67,AN67,AT67,AZ67,BF67,BL67,BR67,BX67,CD67,CJ67,CV67,DB67,DH67,DN67,DS67,EF67,EL67,CP67,DZ67)/BULLETIN!$G$38*100</f>
        <v>0</v>
      </c>
      <c r="EY67" s="52" t="str">
        <f t="shared" si="5"/>
        <v>10e</v>
      </c>
      <c r="EZ67" s="51">
        <f>SUM(Q67,W67,AC67,AI67,AO67,AU67,BA67,BG67,BM67,BS67,BY67,CE67,CK67,CW67,DC67,DI67,DO67,DU67,EG67,EM67,EA67,CQ67)/BULLETIN!$H$38*100</f>
        <v>0</v>
      </c>
      <c r="FA67" s="52" t="str">
        <f t="shared" si="6"/>
        <v>10e</v>
      </c>
      <c r="FB67" s="51">
        <f>SUM(O67:Q67,U67:W67,AA67:AC67,AG67:AI67,AM67:AO67,AS67:AU67,AY67:BA67,BE67:BG67,BK67:BM67,BQ67:BS67,BW67:BY67,CC67:CE67,CI67:CK67,CU67:CW67,DA67:DC67,DM67:DO67,DS67:DU67,EE67:EG67,EK67:EM67,DG67:DI67,CO67:CQ67,DY67:EA67)/BULLETIN!$I$38*100</f>
        <v>0</v>
      </c>
      <c r="FC67" s="52" t="str">
        <f t="shared" si="7"/>
        <v>10e</v>
      </c>
      <c r="FD67" s="51">
        <f>SUM(L67:EM67)/BULLETIN!$J$38*100</f>
        <v>0</v>
      </c>
      <c r="FE67" s="52" t="str">
        <f t="shared" si="8"/>
        <v>10e</v>
      </c>
    </row>
    <row r="68" spans="1:161" ht="15.5" x14ac:dyDescent="0.35">
      <c r="A68" s="13"/>
      <c r="B68" s="14"/>
      <c r="C68" s="14"/>
      <c r="D68" s="14"/>
      <c r="E68" s="14"/>
      <c r="F68" s="14"/>
      <c r="G68" s="14"/>
      <c r="H68" s="14"/>
      <c r="I68" s="14"/>
      <c r="J68" s="14"/>
      <c r="K68" s="16"/>
      <c r="L68" s="8"/>
      <c r="M68" s="1"/>
      <c r="N68" s="1"/>
      <c r="O68" s="1"/>
      <c r="P68" s="1"/>
      <c r="Q68" s="9"/>
      <c r="R68" s="10"/>
      <c r="S68" s="1"/>
      <c r="T68" s="1"/>
      <c r="U68" s="1"/>
      <c r="V68" s="2"/>
      <c r="W68" s="18"/>
      <c r="X68" s="8"/>
      <c r="Y68" s="1"/>
      <c r="Z68" s="1"/>
      <c r="AA68" s="1"/>
      <c r="AB68" s="1"/>
      <c r="AC68" s="9"/>
      <c r="AD68" s="8"/>
      <c r="AE68" s="1"/>
      <c r="AF68" s="1"/>
      <c r="AG68" s="1"/>
      <c r="AH68" s="1"/>
      <c r="AI68" s="9"/>
      <c r="AJ68" s="10"/>
      <c r="AK68" s="1"/>
      <c r="AL68" s="1"/>
      <c r="AM68" s="1"/>
      <c r="AN68" s="2"/>
      <c r="AO68" s="18"/>
      <c r="AP68" s="8"/>
      <c r="AQ68" s="1"/>
      <c r="AR68" s="1"/>
      <c r="AS68" s="2"/>
      <c r="AT68" s="1"/>
      <c r="AU68" s="9"/>
      <c r="AV68" s="8"/>
      <c r="AW68" s="1"/>
      <c r="AX68" s="1"/>
      <c r="AY68" s="2"/>
      <c r="AZ68" s="1"/>
      <c r="BA68" s="9"/>
      <c r="BB68" s="10"/>
      <c r="BC68" s="1"/>
      <c r="BD68" s="1"/>
      <c r="BE68" s="1"/>
      <c r="BF68" s="2"/>
      <c r="BG68" s="1"/>
      <c r="BH68" s="10"/>
      <c r="BI68" s="1"/>
      <c r="BJ68" s="1"/>
      <c r="BK68" s="2"/>
      <c r="BL68" s="1"/>
      <c r="BM68" s="9"/>
      <c r="BN68" s="10"/>
      <c r="BO68" s="1"/>
      <c r="BP68" s="1"/>
      <c r="BQ68" s="1"/>
      <c r="BR68" s="2"/>
      <c r="BS68" s="18"/>
      <c r="BT68" s="8"/>
      <c r="BU68" s="1"/>
      <c r="BV68" s="1"/>
      <c r="BW68" s="2"/>
      <c r="BX68" s="1"/>
      <c r="BY68" s="9"/>
      <c r="BZ68" s="10"/>
      <c r="CA68" s="1"/>
      <c r="CB68" s="1"/>
      <c r="CC68" s="1"/>
      <c r="CD68" s="2"/>
      <c r="CE68" s="18"/>
      <c r="CF68" s="10"/>
      <c r="CG68" s="1"/>
      <c r="CH68" s="1"/>
      <c r="CI68" s="1"/>
      <c r="CJ68" s="2"/>
      <c r="CK68" s="18"/>
      <c r="CL68" s="10"/>
      <c r="CM68" s="1"/>
      <c r="CN68" s="1"/>
      <c r="CO68" s="1"/>
      <c r="CP68" s="2"/>
      <c r="CQ68" s="18"/>
      <c r="CR68" s="10"/>
      <c r="CS68" s="1"/>
      <c r="CT68" s="1"/>
      <c r="CU68" s="1"/>
      <c r="CV68" s="2"/>
      <c r="CW68" s="18"/>
      <c r="CX68" s="8"/>
      <c r="CY68" s="1"/>
      <c r="CZ68" s="1"/>
      <c r="DA68" s="1"/>
      <c r="DB68" s="2"/>
      <c r="DC68" s="18"/>
      <c r="DD68" s="8"/>
      <c r="DE68" s="1"/>
      <c r="DF68" s="1"/>
      <c r="DG68" s="1"/>
      <c r="DH68" s="1"/>
      <c r="DI68" s="2"/>
      <c r="DJ68" s="60"/>
      <c r="DK68" s="1"/>
      <c r="DL68" s="1"/>
      <c r="DM68" s="1"/>
      <c r="DN68" s="1"/>
      <c r="DO68" s="61"/>
      <c r="DP68" s="10"/>
      <c r="DQ68" s="1"/>
      <c r="DR68" s="1"/>
      <c r="DS68" s="1"/>
      <c r="DT68" s="1"/>
      <c r="DU68" s="61"/>
      <c r="DV68" s="60"/>
      <c r="DW68" s="1"/>
      <c r="DX68" s="1"/>
      <c r="DY68" s="1"/>
      <c r="DZ68" s="1"/>
      <c r="EA68" s="61"/>
      <c r="EB68" s="10"/>
      <c r="EC68" s="1"/>
      <c r="ED68" s="1"/>
      <c r="EE68" s="1"/>
      <c r="EF68" s="1"/>
      <c r="EG68" s="61"/>
      <c r="EH68" s="10"/>
      <c r="EI68" s="1"/>
      <c r="EJ68" s="1"/>
      <c r="EK68" s="1"/>
      <c r="EL68" s="2"/>
      <c r="EM68" s="1"/>
      <c r="EN68" s="51">
        <f>SUM(L68,R68,X68,AD68,AJ68,AP68,AV68,BB68,BH68,BN68,BT68,BZ68,CF68,CL68,CR68,CX68,DD68,DJ68,DP68,DV68,EB68,EH68)/BULLETIN!$B$38*100</f>
        <v>0</v>
      </c>
      <c r="EO68" s="52" t="str">
        <f t="shared" ref="EO68:EO72" si="9">RANK(EN68,$EN$3:$EN$72)&amp;"e"</f>
        <v>10e</v>
      </c>
      <c r="EP68" s="51">
        <f>SUM(M68,S68,Y68,AE68,AK68,AQ68,AW68,BC68,BI68,BO68,BU68,CA68,CG68,CS68,CY68,DE68,DK68,DQ68,EC68,EI68,CM68,DW68)/BULLETIN!$C$38*100</f>
        <v>0</v>
      </c>
      <c r="EQ68" s="52" t="str">
        <f t="shared" ref="EQ68:EQ72" si="10">RANK(EP68,$EP$3:$EP$72)&amp;"e"</f>
        <v>10e</v>
      </c>
      <c r="ER68" s="51">
        <f>SUM(N68,T68,Z68,AF68,AL68,AR68,AX68,BD68,BJ68,BP68,BV68,CB68,CH68,CT68,CZ68,DF68,DL68,DR68,ED68,EJ68,CN68,DX68)/BULLETIN!$D$38*100</f>
        <v>0</v>
      </c>
      <c r="ES68" s="52" t="str">
        <f t="shared" ref="ES68:ES72" si="11">RANK(ER68,$ER$3:$ER$72)&amp;"e"</f>
        <v>10e</v>
      </c>
      <c r="ET68" s="51">
        <f>SUM(L68:N68,R68:T68,X68:Z68,AD68:AF68,AJ68:AL68,AP68:AR68,AV68:AX68,BB68:BD68,BH68:BJ68,BN68:BP68,BT68:BV68,BZ68:CB68,CF68:CH68,CR68:CT68,CX68:CZ68,DD68:DF68,DJ68:DL68,DP68:DR68,EB68:ED68,EH68:EJ68,CL68:CN68,DV68:DX68)/BULLETIN!$E$38*100</f>
        <v>0</v>
      </c>
      <c r="EU68" s="52" t="str">
        <f t="shared" ref="EU68:EU72" si="12">RANK(ET68,$ET$3:$ET$72)&amp;"e"</f>
        <v>10e</v>
      </c>
      <c r="EV68" s="51">
        <f>SUM(O68,U68,AA68,AG68,AM68,AS68,AY68,BE68,BK68,BQ68,BW68,CC68,CI68,CU68,DA68,DG68,DM68,DS68,EE68,EK68,CO68,DY68)/BULLETIN!$F$38*100</f>
        <v>0</v>
      </c>
      <c r="EW68" s="52" t="str">
        <f t="shared" ref="EW68:EW72" si="13">RANK(EV68,$EV$3:$EV$72)&amp;"e"</f>
        <v>10e</v>
      </c>
      <c r="EX68" s="51">
        <f>SUM(P68,V68,AB68,AH68,AN68,AT68,AZ68,BF68,BL68,BR68,BX68,CD68,CJ68,CV68,DB68,DH68,DN68,DS68,EF68,EL68,CP68,DZ68)/BULLETIN!$G$38*100</f>
        <v>0</v>
      </c>
      <c r="EY68" s="52" t="str">
        <f t="shared" ref="EY68:EY72" si="14">RANK(EX68,$EX$3:$EX$72)&amp;"e"</f>
        <v>10e</v>
      </c>
      <c r="EZ68" s="51">
        <f>SUM(Q68,W68,AC68,AI68,AO68,AU68,BA68,BG68,BM68,BS68,BY68,CE68,CK68,CW68,DC68,DI68,DO68,DU68,EG68,EM68,EA68,CQ68)/BULLETIN!$H$38*100</f>
        <v>0</v>
      </c>
      <c r="FA68" s="52" t="str">
        <f t="shared" ref="FA68:FA72" si="15">RANK(EZ68,$EZ$3:$EZ$72)&amp;"e"</f>
        <v>10e</v>
      </c>
      <c r="FB68" s="51">
        <f>SUM(O68:Q68,U68:W68,AA68:AC68,AG68:AI68,AM68:AO68,AS68:AU68,AY68:BA68,BE68:BG68,BK68:BM68,BQ68:BS68,BW68:BY68,CC68:CE68,CI68:CK68,CU68:CW68,DA68:DC68,DM68:DO68,DS68:DU68,EE68:EG68,EK68:EM68,DG68:DI68,CO68:CQ68,DY68:EA68)/BULLETIN!$I$38*100</f>
        <v>0</v>
      </c>
      <c r="FC68" s="52" t="str">
        <f t="shared" ref="FC68:FC72" si="16">RANK(FB68,$FB$3:$FB$72)&amp;"e"</f>
        <v>10e</v>
      </c>
      <c r="FD68" s="51">
        <f>SUM(L68:EM68)/BULLETIN!$J$38*100</f>
        <v>0</v>
      </c>
      <c r="FE68" s="52" t="str">
        <f t="shared" ref="FE68:FE72" si="17">RANK(FD68,$FD$3:$FD$72)&amp;"e"</f>
        <v>10e</v>
      </c>
    </row>
    <row r="69" spans="1:161" ht="15.5" x14ac:dyDescent="0.35">
      <c r="A69" s="13"/>
      <c r="B69" s="14"/>
      <c r="C69" s="14"/>
      <c r="D69" s="14"/>
      <c r="E69" s="14"/>
      <c r="F69" s="14"/>
      <c r="G69" s="14"/>
      <c r="H69" s="14"/>
      <c r="I69" s="14"/>
      <c r="J69" s="14"/>
      <c r="K69" s="16"/>
      <c r="L69" s="8"/>
      <c r="M69" s="1"/>
      <c r="N69" s="1"/>
      <c r="O69" s="1"/>
      <c r="P69" s="1"/>
      <c r="Q69" s="9"/>
      <c r="R69" s="10"/>
      <c r="S69" s="1"/>
      <c r="T69" s="1"/>
      <c r="U69" s="1"/>
      <c r="V69" s="2"/>
      <c r="W69" s="18"/>
      <c r="X69" s="8"/>
      <c r="Y69" s="1"/>
      <c r="Z69" s="1"/>
      <c r="AA69" s="1"/>
      <c r="AB69" s="1"/>
      <c r="AC69" s="9"/>
      <c r="AD69" s="8"/>
      <c r="AE69" s="1"/>
      <c r="AF69" s="1"/>
      <c r="AG69" s="1"/>
      <c r="AH69" s="1"/>
      <c r="AI69" s="9"/>
      <c r="AJ69" s="10"/>
      <c r="AK69" s="1"/>
      <c r="AL69" s="1"/>
      <c r="AM69" s="1"/>
      <c r="AN69" s="2"/>
      <c r="AO69" s="18"/>
      <c r="AP69" s="8"/>
      <c r="AQ69" s="1"/>
      <c r="AR69" s="1"/>
      <c r="AS69" s="2"/>
      <c r="AT69" s="1"/>
      <c r="AU69" s="9"/>
      <c r="AV69" s="8"/>
      <c r="AW69" s="1"/>
      <c r="AX69" s="1"/>
      <c r="AY69" s="2"/>
      <c r="AZ69" s="1"/>
      <c r="BA69" s="9"/>
      <c r="BB69" s="10"/>
      <c r="BC69" s="1"/>
      <c r="BD69" s="1"/>
      <c r="BE69" s="1"/>
      <c r="BF69" s="2"/>
      <c r="BG69" s="1"/>
      <c r="BH69" s="10"/>
      <c r="BI69" s="1"/>
      <c r="BJ69" s="1"/>
      <c r="BK69" s="2"/>
      <c r="BL69" s="1"/>
      <c r="BM69" s="9"/>
      <c r="BN69" s="10"/>
      <c r="BO69" s="1"/>
      <c r="BP69" s="1"/>
      <c r="BQ69" s="1"/>
      <c r="BR69" s="2"/>
      <c r="BS69" s="18"/>
      <c r="BT69" s="8"/>
      <c r="BU69" s="1"/>
      <c r="BV69" s="1"/>
      <c r="BW69" s="2"/>
      <c r="BX69" s="1"/>
      <c r="BY69" s="9"/>
      <c r="BZ69" s="10"/>
      <c r="CA69" s="1"/>
      <c r="CB69" s="1"/>
      <c r="CC69" s="1"/>
      <c r="CD69" s="2"/>
      <c r="CE69" s="18"/>
      <c r="CF69" s="10"/>
      <c r="CG69" s="1"/>
      <c r="CH69" s="1"/>
      <c r="CI69" s="1"/>
      <c r="CJ69" s="2"/>
      <c r="CK69" s="18"/>
      <c r="CL69" s="10"/>
      <c r="CM69" s="1"/>
      <c r="CN69" s="1"/>
      <c r="CO69" s="1"/>
      <c r="CP69" s="2"/>
      <c r="CQ69" s="18"/>
      <c r="CR69" s="10"/>
      <c r="CS69" s="1"/>
      <c r="CT69" s="1"/>
      <c r="CU69" s="1"/>
      <c r="CV69" s="2"/>
      <c r="CW69" s="18"/>
      <c r="CX69" s="8"/>
      <c r="CY69" s="1"/>
      <c r="CZ69" s="1"/>
      <c r="DA69" s="1"/>
      <c r="DB69" s="2"/>
      <c r="DC69" s="18"/>
      <c r="DD69" s="8"/>
      <c r="DE69" s="1"/>
      <c r="DF69" s="1"/>
      <c r="DG69" s="1"/>
      <c r="DH69" s="1"/>
      <c r="DI69" s="2"/>
      <c r="DJ69" s="60"/>
      <c r="DK69" s="1"/>
      <c r="DL69" s="1"/>
      <c r="DM69" s="1"/>
      <c r="DN69" s="1"/>
      <c r="DO69" s="61"/>
      <c r="DP69" s="10"/>
      <c r="DQ69" s="1"/>
      <c r="DR69" s="1"/>
      <c r="DS69" s="1"/>
      <c r="DT69" s="1"/>
      <c r="DU69" s="61"/>
      <c r="DV69" s="60"/>
      <c r="DW69" s="1"/>
      <c r="DX69" s="1"/>
      <c r="DY69" s="1"/>
      <c r="DZ69" s="1"/>
      <c r="EA69" s="61"/>
      <c r="EB69" s="10"/>
      <c r="EC69" s="1"/>
      <c r="ED69" s="1"/>
      <c r="EE69" s="1"/>
      <c r="EF69" s="1"/>
      <c r="EG69" s="61"/>
      <c r="EH69" s="10"/>
      <c r="EI69" s="1"/>
      <c r="EJ69" s="1"/>
      <c r="EK69" s="1"/>
      <c r="EL69" s="2"/>
      <c r="EM69" s="1"/>
      <c r="EN69" s="51">
        <f>SUM(L69,R69,X69,AD69,AJ69,AP69,AV69,BB69,BH69,BN69,BT69,BZ69,CF69,CL69,CR69,CX69,DD69,DJ69,DP69,DV69,EB69,EH69)/BULLETIN!$B$38*100</f>
        <v>0</v>
      </c>
      <c r="EO69" s="52" t="str">
        <f t="shared" si="9"/>
        <v>10e</v>
      </c>
      <c r="EP69" s="51">
        <f>SUM(M69,S69,Y69,AE69,AK69,AQ69,AW69,BC69,BI69,BO69,BU69,CA69,CG69,CS69,CY69,DE69,DK69,DQ69,EC69,EI69,CM69,DW69)/BULLETIN!$C$38*100</f>
        <v>0</v>
      </c>
      <c r="EQ69" s="52" t="str">
        <f t="shared" si="10"/>
        <v>10e</v>
      </c>
      <c r="ER69" s="51">
        <f>SUM(N69,T69,Z69,AF69,AL69,AR69,AX69,BD69,BJ69,BP69,BV69,CB69,CH69,CT69,CZ69,DF69,DL69,DR69,ED69,EJ69,CN69,DX69)/BULLETIN!$D$38*100</f>
        <v>0</v>
      </c>
      <c r="ES69" s="52" t="str">
        <f t="shared" si="11"/>
        <v>10e</v>
      </c>
      <c r="ET69" s="51">
        <f>SUM(L69:N69,R69:T69,X69:Z69,AD69:AF69,AJ69:AL69,AP69:AR69,AV69:AX69,BB69:BD69,BH69:BJ69,BN69:BP69,BT69:BV69,BZ69:CB69,CF69:CH69,CR69:CT69,CX69:CZ69,DD69:DF69,DJ69:DL69,DP69:DR69,EB69:ED69,EH69:EJ69,CL69:CN69,DV69:DX69)/BULLETIN!$E$38*100</f>
        <v>0</v>
      </c>
      <c r="EU69" s="52" t="str">
        <f t="shared" si="12"/>
        <v>10e</v>
      </c>
      <c r="EV69" s="51">
        <f>SUM(O69,U69,AA69,AG69,AM69,AS69,AY69,BE69,BK69,BQ69,BW69,CC69,CI69,CU69,DA69,DG69,DM69,DS69,EE69,EK69,CO69,DY69)/BULLETIN!$F$38*100</f>
        <v>0</v>
      </c>
      <c r="EW69" s="52" t="str">
        <f t="shared" si="13"/>
        <v>10e</v>
      </c>
      <c r="EX69" s="51">
        <f>SUM(P69,V69,AB69,AH69,AN69,AT69,AZ69,BF69,BL69,BR69,BX69,CD69,CJ69,CV69,DB69,DH69,DN69,DS69,EF69,EL69,CP69,DZ69)/BULLETIN!$G$38*100</f>
        <v>0</v>
      </c>
      <c r="EY69" s="52" t="str">
        <f t="shared" si="14"/>
        <v>10e</v>
      </c>
      <c r="EZ69" s="51">
        <f>SUM(Q69,W69,AC69,AI69,AO69,AU69,BA69,BG69,BM69,BS69,BY69,CE69,CK69,CW69,DC69,DI69,DO69,DU69,EG69,EM69,EA69,CQ69)/BULLETIN!$H$38*100</f>
        <v>0</v>
      </c>
      <c r="FA69" s="52" t="str">
        <f t="shared" si="15"/>
        <v>10e</v>
      </c>
      <c r="FB69" s="51">
        <f>SUM(O69:Q69,U69:W69,AA69:AC69,AG69:AI69,AM69:AO69,AS69:AU69,AY69:BA69,BE69:BG69,BK69:BM69,BQ69:BS69,BW69:BY69,CC69:CE69,CI69:CK69,CU69:CW69,DA69:DC69,DM69:DO69,DS69:DU69,EE69:EG69,EK69:EM69,DG69:DI69,CO69:CQ69,DY69:EA69)/BULLETIN!$I$38*100</f>
        <v>0</v>
      </c>
      <c r="FC69" s="52" t="str">
        <f t="shared" si="16"/>
        <v>10e</v>
      </c>
      <c r="FD69" s="51">
        <f>SUM(L69:EM69)/BULLETIN!$J$38*100</f>
        <v>0</v>
      </c>
      <c r="FE69" s="52" t="str">
        <f t="shared" si="17"/>
        <v>10e</v>
      </c>
    </row>
    <row r="70" spans="1:161" ht="15.5" x14ac:dyDescent="0.35">
      <c r="A70" s="13"/>
      <c r="B70" s="14"/>
      <c r="C70" s="14"/>
      <c r="D70" s="14"/>
      <c r="E70" s="14"/>
      <c r="F70" s="14"/>
      <c r="G70" s="14"/>
      <c r="H70" s="14"/>
      <c r="I70" s="14"/>
      <c r="J70" s="14"/>
      <c r="K70" s="16"/>
      <c r="L70" s="8"/>
      <c r="M70" s="1"/>
      <c r="N70" s="1"/>
      <c r="O70" s="1"/>
      <c r="P70" s="1"/>
      <c r="Q70" s="9"/>
      <c r="R70" s="10"/>
      <c r="S70" s="1"/>
      <c r="T70" s="1"/>
      <c r="U70" s="1"/>
      <c r="V70" s="2"/>
      <c r="W70" s="18"/>
      <c r="X70" s="8"/>
      <c r="Y70" s="1"/>
      <c r="Z70" s="1"/>
      <c r="AA70" s="1"/>
      <c r="AB70" s="1"/>
      <c r="AC70" s="9"/>
      <c r="AD70" s="8"/>
      <c r="AE70" s="1"/>
      <c r="AF70" s="1"/>
      <c r="AG70" s="1"/>
      <c r="AH70" s="1"/>
      <c r="AI70" s="9"/>
      <c r="AJ70" s="10"/>
      <c r="AK70" s="1"/>
      <c r="AL70" s="1"/>
      <c r="AM70" s="1"/>
      <c r="AN70" s="2"/>
      <c r="AO70" s="18"/>
      <c r="AP70" s="8"/>
      <c r="AQ70" s="1"/>
      <c r="AR70" s="1"/>
      <c r="AS70" s="2"/>
      <c r="AT70" s="1"/>
      <c r="AU70" s="9"/>
      <c r="AV70" s="8"/>
      <c r="AW70" s="1"/>
      <c r="AX70" s="1"/>
      <c r="AY70" s="2"/>
      <c r="AZ70" s="1"/>
      <c r="BA70" s="9"/>
      <c r="BB70" s="10"/>
      <c r="BC70" s="1"/>
      <c r="BD70" s="1"/>
      <c r="BE70" s="1"/>
      <c r="BF70" s="2"/>
      <c r="BG70" s="1"/>
      <c r="BH70" s="10"/>
      <c r="BI70" s="1"/>
      <c r="BJ70" s="1"/>
      <c r="BK70" s="2"/>
      <c r="BL70" s="1"/>
      <c r="BM70" s="9"/>
      <c r="BN70" s="10"/>
      <c r="BO70" s="1"/>
      <c r="BP70" s="1"/>
      <c r="BQ70" s="1"/>
      <c r="BR70" s="2"/>
      <c r="BS70" s="18"/>
      <c r="BT70" s="8"/>
      <c r="BU70" s="1"/>
      <c r="BV70" s="1"/>
      <c r="BW70" s="2"/>
      <c r="BX70" s="1"/>
      <c r="BY70" s="9"/>
      <c r="BZ70" s="10"/>
      <c r="CA70" s="1"/>
      <c r="CB70" s="1"/>
      <c r="CC70" s="1"/>
      <c r="CD70" s="2"/>
      <c r="CE70" s="18"/>
      <c r="CF70" s="10"/>
      <c r="CG70" s="1"/>
      <c r="CH70" s="1"/>
      <c r="CI70" s="1"/>
      <c r="CJ70" s="2"/>
      <c r="CK70" s="18"/>
      <c r="CL70" s="10"/>
      <c r="CM70" s="1"/>
      <c r="CN70" s="1"/>
      <c r="CO70" s="1"/>
      <c r="CP70" s="2"/>
      <c r="CQ70" s="18"/>
      <c r="CR70" s="10"/>
      <c r="CS70" s="1"/>
      <c r="CT70" s="1"/>
      <c r="CU70" s="1"/>
      <c r="CV70" s="2"/>
      <c r="CW70" s="18"/>
      <c r="CX70" s="8"/>
      <c r="CY70" s="1"/>
      <c r="CZ70" s="1"/>
      <c r="DA70" s="1"/>
      <c r="DB70" s="2"/>
      <c r="DC70" s="18"/>
      <c r="DD70" s="8"/>
      <c r="DE70" s="1"/>
      <c r="DF70" s="1"/>
      <c r="DG70" s="1"/>
      <c r="DH70" s="1"/>
      <c r="DI70" s="2"/>
      <c r="DJ70" s="60"/>
      <c r="DK70" s="1"/>
      <c r="DL70" s="1"/>
      <c r="DM70" s="1"/>
      <c r="DN70" s="1"/>
      <c r="DO70" s="61"/>
      <c r="DP70" s="10"/>
      <c r="DQ70" s="1"/>
      <c r="DR70" s="1"/>
      <c r="DS70" s="1"/>
      <c r="DT70" s="1"/>
      <c r="DU70" s="61"/>
      <c r="DV70" s="60"/>
      <c r="DW70" s="1"/>
      <c r="DX70" s="1"/>
      <c r="DY70" s="1"/>
      <c r="DZ70" s="1"/>
      <c r="EA70" s="61"/>
      <c r="EB70" s="10"/>
      <c r="EC70" s="1"/>
      <c r="ED70" s="1"/>
      <c r="EE70" s="1"/>
      <c r="EF70" s="1"/>
      <c r="EG70" s="61"/>
      <c r="EH70" s="10"/>
      <c r="EI70" s="1"/>
      <c r="EJ70" s="1"/>
      <c r="EK70" s="1"/>
      <c r="EL70" s="2"/>
      <c r="EM70" s="1"/>
      <c r="EN70" s="51">
        <f>SUM(L70,R70,X70,AD70,AJ70,AP70,AV70,BB70,BH70,BN70,BT70,BZ70,CF70,CL70,CR70,CX70,DD70,DJ70,DP70,DV70,EB70,EH70)/BULLETIN!$B$38*100</f>
        <v>0</v>
      </c>
      <c r="EO70" s="52" t="str">
        <f t="shared" si="9"/>
        <v>10e</v>
      </c>
      <c r="EP70" s="51">
        <f>SUM(M70,S70,Y70,AE70,AK70,AQ70,AW70,BC70,BI70,BO70,BU70,CA70,CG70,CS70,CY70,DE70,DK70,DQ70,EC70,EI70,CM70,DW70)/BULLETIN!$C$38*100</f>
        <v>0</v>
      </c>
      <c r="EQ70" s="52" t="str">
        <f t="shared" si="10"/>
        <v>10e</v>
      </c>
      <c r="ER70" s="51">
        <f>SUM(N70,T70,Z70,AF70,AL70,AR70,AX70,BD70,BJ70,BP70,BV70,CB70,CH70,CT70,CZ70,DF70,DL70,DR70,ED70,EJ70,CN70,DX70)/BULLETIN!$D$38*100</f>
        <v>0</v>
      </c>
      <c r="ES70" s="52" t="str">
        <f t="shared" si="11"/>
        <v>10e</v>
      </c>
      <c r="ET70" s="51">
        <f>SUM(L70:N70,R70:T70,X70:Z70,AD70:AF70,AJ70:AL70,AP70:AR70,AV70:AX70,BB70:BD70,BH70:BJ70,BN70:BP70,BT70:BV70,BZ70:CB70,CF70:CH70,CR70:CT70,CX70:CZ70,DD70:DF70,DJ70:DL70,DP70:DR70,EB70:ED70,EH70:EJ70,CL70:CN70,DV70:DX70)/BULLETIN!$E$38*100</f>
        <v>0</v>
      </c>
      <c r="EU70" s="52" t="str">
        <f t="shared" si="12"/>
        <v>10e</v>
      </c>
      <c r="EV70" s="51">
        <f>SUM(O70,U70,AA70,AG70,AM70,AS70,AY70,BE70,BK70,BQ70,BW70,CC70,CI70,CU70,DA70,DG70,DM70,DS70,EE70,EK70,CO70,DY70)/BULLETIN!$F$38*100</f>
        <v>0</v>
      </c>
      <c r="EW70" s="52" t="str">
        <f t="shared" si="13"/>
        <v>10e</v>
      </c>
      <c r="EX70" s="51">
        <f>SUM(P70,V70,AB70,AH70,AN70,AT70,AZ70,BF70,BL70,BR70,BX70,CD70,CJ70,CV70,DB70,DH70,DN70,DS70,EF70,EL70,CP70,DZ70)/BULLETIN!$G$38*100</f>
        <v>0</v>
      </c>
      <c r="EY70" s="52" t="str">
        <f t="shared" si="14"/>
        <v>10e</v>
      </c>
      <c r="EZ70" s="51">
        <f>SUM(Q70,W70,AC70,AI70,AO70,AU70,BA70,BG70,BM70,BS70,BY70,CE70,CK70,CW70,DC70,DI70,DO70,DU70,EG70,EM70,EA70,CQ70)/BULLETIN!$H$38*100</f>
        <v>0</v>
      </c>
      <c r="FA70" s="52" t="str">
        <f t="shared" si="15"/>
        <v>10e</v>
      </c>
      <c r="FB70" s="51">
        <f>SUM(O70:Q70,U70:W70,AA70:AC70,AG70:AI70,AM70:AO70,AS70:AU70,AY70:BA70,BE70:BG70,BK70:BM70,BQ70:BS70,BW70:BY70,CC70:CE70,CI70:CK70,CU70:CW70,DA70:DC70,DM70:DO70,DS70:DU70,EE70:EG70,EK70:EM70,DG70:DI70,CO70:CQ70,DY70:EA70)/BULLETIN!$I$38*100</f>
        <v>0</v>
      </c>
      <c r="FC70" s="52" t="str">
        <f t="shared" si="16"/>
        <v>10e</v>
      </c>
      <c r="FD70" s="51">
        <f>SUM(L70:EM70)/BULLETIN!$J$38*100</f>
        <v>0</v>
      </c>
      <c r="FE70" s="52" t="str">
        <f t="shared" si="17"/>
        <v>10e</v>
      </c>
    </row>
    <row r="71" spans="1:161" ht="15.5" x14ac:dyDescent="0.35">
      <c r="A71" s="13"/>
      <c r="B71" s="14"/>
      <c r="C71" s="14"/>
      <c r="D71" s="14"/>
      <c r="E71" s="14"/>
      <c r="F71" s="14"/>
      <c r="G71" s="14"/>
      <c r="H71" s="14"/>
      <c r="I71" s="14"/>
      <c r="J71" s="14"/>
      <c r="K71" s="16"/>
      <c r="L71" s="8"/>
      <c r="M71" s="1"/>
      <c r="N71" s="1"/>
      <c r="O71" s="1"/>
      <c r="P71" s="1"/>
      <c r="Q71" s="9"/>
      <c r="R71" s="10"/>
      <c r="S71" s="1"/>
      <c r="T71" s="1"/>
      <c r="U71" s="1"/>
      <c r="V71" s="2"/>
      <c r="W71" s="18"/>
      <c r="X71" s="8"/>
      <c r="Y71" s="1"/>
      <c r="Z71" s="1"/>
      <c r="AA71" s="1"/>
      <c r="AB71" s="1"/>
      <c r="AC71" s="9"/>
      <c r="AD71" s="8"/>
      <c r="AE71" s="1"/>
      <c r="AF71" s="1"/>
      <c r="AG71" s="1"/>
      <c r="AH71" s="1"/>
      <c r="AI71" s="9"/>
      <c r="AJ71" s="10"/>
      <c r="AK71" s="1"/>
      <c r="AL71" s="1"/>
      <c r="AM71" s="1"/>
      <c r="AN71" s="2"/>
      <c r="AO71" s="18"/>
      <c r="AP71" s="8"/>
      <c r="AQ71" s="1"/>
      <c r="AR71" s="1"/>
      <c r="AS71" s="2"/>
      <c r="AT71" s="1"/>
      <c r="AU71" s="9"/>
      <c r="AV71" s="8"/>
      <c r="AW71" s="1"/>
      <c r="AX71" s="1"/>
      <c r="AY71" s="2"/>
      <c r="AZ71" s="1"/>
      <c r="BA71" s="9"/>
      <c r="BB71" s="10"/>
      <c r="BC71" s="1"/>
      <c r="BD71" s="1"/>
      <c r="BE71" s="1"/>
      <c r="BF71" s="2"/>
      <c r="BG71" s="1"/>
      <c r="BH71" s="10"/>
      <c r="BI71" s="1"/>
      <c r="BJ71" s="1"/>
      <c r="BK71" s="2"/>
      <c r="BL71" s="1"/>
      <c r="BM71" s="9"/>
      <c r="BN71" s="10"/>
      <c r="BO71" s="1"/>
      <c r="BP71" s="1"/>
      <c r="BQ71" s="1"/>
      <c r="BR71" s="2"/>
      <c r="BS71" s="18"/>
      <c r="BT71" s="8"/>
      <c r="BU71" s="1"/>
      <c r="BV71" s="1"/>
      <c r="BW71" s="2"/>
      <c r="BX71" s="1"/>
      <c r="BY71" s="9"/>
      <c r="BZ71" s="10"/>
      <c r="CA71" s="1"/>
      <c r="CB71" s="1"/>
      <c r="CC71" s="1"/>
      <c r="CD71" s="2"/>
      <c r="CE71" s="18"/>
      <c r="CF71" s="10"/>
      <c r="CG71" s="1"/>
      <c r="CH71" s="1"/>
      <c r="CI71" s="1"/>
      <c r="CJ71" s="2"/>
      <c r="CK71" s="18"/>
      <c r="CL71" s="10"/>
      <c r="CM71" s="1"/>
      <c r="CN71" s="1"/>
      <c r="CO71" s="1"/>
      <c r="CP71" s="2"/>
      <c r="CQ71" s="18"/>
      <c r="CR71" s="10"/>
      <c r="CS71" s="1"/>
      <c r="CT71" s="1"/>
      <c r="CU71" s="1"/>
      <c r="CV71" s="2"/>
      <c r="CW71" s="18"/>
      <c r="CX71" s="8"/>
      <c r="CY71" s="1"/>
      <c r="CZ71" s="1"/>
      <c r="DA71" s="1"/>
      <c r="DB71" s="2"/>
      <c r="DC71" s="18"/>
      <c r="DD71" s="8"/>
      <c r="DE71" s="1"/>
      <c r="DF71" s="1"/>
      <c r="DG71" s="1"/>
      <c r="DH71" s="1"/>
      <c r="DI71" s="2"/>
      <c r="DJ71" s="60"/>
      <c r="DK71" s="1"/>
      <c r="DL71" s="1"/>
      <c r="DM71" s="1"/>
      <c r="DN71" s="1"/>
      <c r="DO71" s="61"/>
      <c r="DP71" s="10"/>
      <c r="DQ71" s="1"/>
      <c r="DR71" s="1"/>
      <c r="DS71" s="1"/>
      <c r="DT71" s="1"/>
      <c r="DU71" s="61"/>
      <c r="DV71" s="60"/>
      <c r="DW71" s="1"/>
      <c r="DX71" s="1"/>
      <c r="DY71" s="1"/>
      <c r="DZ71" s="1"/>
      <c r="EA71" s="61"/>
      <c r="EB71" s="10"/>
      <c r="EC71" s="1"/>
      <c r="ED71" s="1"/>
      <c r="EE71" s="1"/>
      <c r="EF71" s="1"/>
      <c r="EG71" s="61"/>
      <c r="EH71" s="10"/>
      <c r="EI71" s="1"/>
      <c r="EJ71" s="1"/>
      <c r="EK71" s="1"/>
      <c r="EL71" s="2"/>
      <c r="EM71" s="1"/>
      <c r="EN71" s="51">
        <f>SUM(L71,R71,X71,AD71,AJ71,AP71,AV71,BB71,BH71,BN71,BT71,BZ71,CF71,CL71,CR71,CX71,DD71,DJ71,DP71,DV71,EB71,EH71)/BULLETIN!$B$38*100</f>
        <v>0</v>
      </c>
      <c r="EO71" s="52" t="str">
        <f t="shared" si="9"/>
        <v>10e</v>
      </c>
      <c r="EP71" s="51">
        <f>SUM(M71,S71,Y71,AE71,AK71,AQ71,AW71,BC71,BI71,BO71,BU71,CA71,CG71,CS71,CY71,DE71,DK71,DQ71,EC71,EI71,CM71,DW71)/BULLETIN!$C$38*100</f>
        <v>0</v>
      </c>
      <c r="EQ71" s="52" t="str">
        <f t="shared" si="10"/>
        <v>10e</v>
      </c>
      <c r="ER71" s="51">
        <f>SUM(N71,T71,Z71,AF71,AL71,AR71,AX71,BD71,BJ71,BP71,BV71,CB71,CH71,CT71,CZ71,DF71,DL71,DR71,ED71,EJ71,CN71,DX71)/BULLETIN!$D$38*100</f>
        <v>0</v>
      </c>
      <c r="ES71" s="52" t="str">
        <f t="shared" si="11"/>
        <v>10e</v>
      </c>
      <c r="ET71" s="51">
        <f>SUM(L71:N71,R71:T71,X71:Z71,AD71:AF71,AJ71:AL71,AP71:AR71,AV71:AX71,BB71:BD71,BH71:BJ71,BN71:BP71,BT71:BV71,BZ71:CB71,CF71:CH71,CR71:CT71,CX71:CZ71,DD71:DF71,DJ71:DL71,DP71:DR71,EB71:ED71,EH71:EJ71,CL71:CN71,DV71:DX71)/BULLETIN!$E$38*100</f>
        <v>0</v>
      </c>
      <c r="EU71" s="52" t="str">
        <f t="shared" si="12"/>
        <v>10e</v>
      </c>
      <c r="EV71" s="51">
        <f>SUM(O71,U71,AA71,AG71,AM71,AS71,AY71,BE71,BK71,BQ71,BW71,CC71,CI71,CU71,DA71,DG71,DM71,DS71,EE71,EK71,CO71,DY71)/BULLETIN!$F$38*100</f>
        <v>0</v>
      </c>
      <c r="EW71" s="52" t="str">
        <f t="shared" si="13"/>
        <v>10e</v>
      </c>
      <c r="EX71" s="51">
        <f>SUM(P71,V71,AB71,AH71,AN71,AT71,AZ71,BF71,BL71,BR71,BX71,CD71,CJ71,CV71,DB71,DH71,DN71,DS71,EF71,EL71,CP71,DZ71)/BULLETIN!$G$38*100</f>
        <v>0</v>
      </c>
      <c r="EY71" s="52" t="str">
        <f t="shared" si="14"/>
        <v>10e</v>
      </c>
      <c r="EZ71" s="51">
        <f>SUM(Q71,W71,AC71,AI71,AO71,AU71,BA71,BG71,BM71,BS71,BY71,CE71,CK71,CW71,DC71,DI71,DO71,DU71,EG71,EM71,EA71,CQ71)/BULLETIN!$H$38*100</f>
        <v>0</v>
      </c>
      <c r="FA71" s="52" t="str">
        <f t="shared" si="15"/>
        <v>10e</v>
      </c>
      <c r="FB71" s="51">
        <f>SUM(O71:Q71,U71:W71,AA71:AC71,AG71:AI71,AM71:AO71,AS71:AU71,AY71:BA71,BE71:BG71,BK71:BM71,BQ71:BS71,BW71:BY71,CC71:CE71,CI71:CK71,CU71:CW71,DA71:DC71,DM71:DO71,DS71:DU71,EE71:EG71,EK71:EM71,DG71:DI71,CO71:CQ71,DY71:EA71)/BULLETIN!$I$38*100</f>
        <v>0</v>
      </c>
      <c r="FC71" s="52" t="str">
        <f t="shared" si="16"/>
        <v>10e</v>
      </c>
      <c r="FD71" s="51">
        <f>SUM(L71:EM71)/BULLETIN!$J$38*100</f>
        <v>0</v>
      </c>
      <c r="FE71" s="52" t="str">
        <f t="shared" si="17"/>
        <v>10e</v>
      </c>
    </row>
    <row r="72" spans="1:161" ht="16" thickBot="1" x14ac:dyDescent="0.4">
      <c r="A72" s="13"/>
      <c r="B72" s="14"/>
      <c r="C72" s="14"/>
      <c r="D72" s="14"/>
      <c r="E72" s="14"/>
      <c r="F72" s="14"/>
      <c r="G72" s="14"/>
      <c r="H72" s="14"/>
      <c r="I72" s="14"/>
      <c r="J72" s="14"/>
      <c r="K72" s="16"/>
      <c r="L72" s="8"/>
      <c r="M72" s="1"/>
      <c r="N72" s="1"/>
      <c r="O72" s="1"/>
      <c r="P72" s="1"/>
      <c r="Q72" s="9"/>
      <c r="R72" s="10"/>
      <c r="S72" s="1"/>
      <c r="T72" s="1"/>
      <c r="U72" s="1"/>
      <c r="V72" s="2"/>
      <c r="W72" s="19"/>
      <c r="X72" s="11"/>
      <c r="Y72" s="12"/>
      <c r="Z72" s="12"/>
      <c r="AA72" s="12"/>
      <c r="AB72" s="1"/>
      <c r="AC72" s="9"/>
      <c r="AD72" s="11"/>
      <c r="AE72" s="12"/>
      <c r="AF72" s="12"/>
      <c r="AG72" s="12"/>
      <c r="AH72" s="1"/>
      <c r="AI72" s="9"/>
      <c r="AJ72" s="10"/>
      <c r="AK72" s="1"/>
      <c r="AL72" s="1"/>
      <c r="AM72" s="1"/>
      <c r="AN72" s="2"/>
      <c r="AO72" s="19"/>
      <c r="AP72" s="11"/>
      <c r="AQ72" s="12"/>
      <c r="AR72" s="12"/>
      <c r="AS72" s="17"/>
      <c r="AT72" s="1"/>
      <c r="AU72" s="9"/>
      <c r="AV72" s="11"/>
      <c r="AW72" s="12"/>
      <c r="AX72" s="12"/>
      <c r="AY72" s="17"/>
      <c r="AZ72" s="1"/>
      <c r="BA72" s="9"/>
      <c r="BB72" s="10"/>
      <c r="BC72" s="1"/>
      <c r="BD72" s="1"/>
      <c r="BE72" s="1"/>
      <c r="BF72" s="2"/>
      <c r="BG72" s="1"/>
      <c r="BH72" s="21"/>
      <c r="BI72" s="12"/>
      <c r="BJ72" s="12"/>
      <c r="BK72" s="17"/>
      <c r="BL72" s="1"/>
      <c r="BM72" s="9"/>
      <c r="BN72" s="10"/>
      <c r="BO72" s="1"/>
      <c r="BP72" s="1"/>
      <c r="BQ72" s="1"/>
      <c r="BR72" s="2"/>
      <c r="BS72" s="19"/>
      <c r="BT72" s="11"/>
      <c r="BU72" s="12"/>
      <c r="BV72" s="12"/>
      <c r="BW72" s="17"/>
      <c r="BX72" s="1"/>
      <c r="BY72" s="9"/>
      <c r="BZ72" s="10"/>
      <c r="CA72" s="1"/>
      <c r="CB72" s="1"/>
      <c r="CC72" s="1"/>
      <c r="CD72" s="2"/>
      <c r="CE72" s="19"/>
      <c r="CF72" s="10"/>
      <c r="CG72" s="1"/>
      <c r="CH72" s="1"/>
      <c r="CI72" s="1"/>
      <c r="CJ72" s="2"/>
      <c r="CK72" s="19"/>
      <c r="CL72" s="10"/>
      <c r="CM72" s="1"/>
      <c r="CN72" s="1"/>
      <c r="CO72" s="1"/>
      <c r="CP72" s="2"/>
      <c r="CQ72" s="19"/>
      <c r="CR72" s="10"/>
      <c r="CS72" s="1"/>
      <c r="CT72" s="1"/>
      <c r="CU72" s="1"/>
      <c r="CV72" s="2"/>
      <c r="CW72" s="19"/>
      <c r="CX72" s="11"/>
      <c r="CY72" s="12"/>
      <c r="CZ72" s="12"/>
      <c r="DA72" s="12"/>
      <c r="DB72" s="17"/>
      <c r="DC72" s="20"/>
      <c r="DD72" s="11"/>
      <c r="DE72" s="12"/>
      <c r="DF72" s="12"/>
      <c r="DG72" s="12"/>
      <c r="DH72" s="1"/>
      <c r="DI72" s="2"/>
      <c r="DJ72" s="62"/>
      <c r="DK72" s="63"/>
      <c r="DL72" s="63"/>
      <c r="DM72" s="63"/>
      <c r="DN72" s="63"/>
      <c r="DO72" s="64"/>
      <c r="DP72" s="66"/>
      <c r="DQ72" s="63"/>
      <c r="DR72" s="63"/>
      <c r="DS72" s="63"/>
      <c r="DT72" s="63"/>
      <c r="DU72" s="64"/>
      <c r="DV72" s="62"/>
      <c r="DW72" s="63"/>
      <c r="DX72" s="63"/>
      <c r="DY72" s="63"/>
      <c r="DZ72" s="63"/>
      <c r="EA72" s="64"/>
      <c r="EB72" s="66"/>
      <c r="EC72" s="63"/>
      <c r="ED72" s="63"/>
      <c r="EE72" s="63"/>
      <c r="EF72" s="63"/>
      <c r="EG72" s="64"/>
      <c r="EH72" s="10"/>
      <c r="EI72" s="1"/>
      <c r="EJ72" s="1"/>
      <c r="EK72" s="1"/>
      <c r="EL72" s="2"/>
      <c r="EM72" s="1"/>
      <c r="EN72" s="51">
        <f>SUM(L72,R72,X72,AD72,AJ72,AP72,AV72,BB72,BH72,BN72,BT72,BZ72,CF72,CL72,CR72,CX72,DD72,DJ72,DP72,DV72,EB72,EH72)/BULLETIN!$B$38*100</f>
        <v>0</v>
      </c>
      <c r="EO72" s="52" t="str">
        <f t="shared" si="9"/>
        <v>10e</v>
      </c>
      <c r="EP72" s="51">
        <f>SUM(M72,S72,Y72,AE72,AK72,AQ72,AW72,BC72,BI72,BO72,BU72,CA72,CG72,CS72,CY72,DE72,DK72,DQ72,EC72,EI72,CM72,DW72)/BULLETIN!$C$38*100</f>
        <v>0</v>
      </c>
      <c r="EQ72" s="52" t="str">
        <f t="shared" si="10"/>
        <v>10e</v>
      </c>
      <c r="ER72" s="51">
        <f>SUM(N72,T72,Z72,AF72,AL72,AR72,AX72,BD72,BJ72,BP72,BV72,CB72,CH72,CT72,CZ72,DF72,DL72,DR72,ED72,EJ72,CN72,DX72)/BULLETIN!$D$38*100</f>
        <v>0</v>
      </c>
      <c r="ES72" s="52" t="str">
        <f t="shared" si="11"/>
        <v>10e</v>
      </c>
      <c r="ET72" s="51">
        <f>SUM(L72:N72,R72:T72,X72:Z72,AD72:AF72,AJ72:AL72,AP72:AR72,AV72:AX72,BB72:BD72,BH72:BJ72,BN72:BP72,BT72:BV72,BZ72:CB72,CF72:CH72,CR72:CT72,CX72:CZ72,DD72:DF72,DJ72:DL72,DP72:DR72,EB72:ED72,EH72:EJ72,CL72:CN72,DV72:DX72)/BULLETIN!$E$38*100</f>
        <v>0</v>
      </c>
      <c r="EU72" s="52" t="str">
        <f t="shared" si="12"/>
        <v>10e</v>
      </c>
      <c r="EV72" s="51">
        <f>SUM(O72,U72,AA72,AG72,AM72,AS72,AY72,BE72,BK72,BQ72,BW72,CC72,CI72,CU72,DA72,DG72,DM72,DS72,EE72,EK72,CO72,DY72)/BULLETIN!$F$38*100</f>
        <v>0</v>
      </c>
      <c r="EW72" s="52" t="str">
        <f t="shared" si="13"/>
        <v>10e</v>
      </c>
      <c r="EX72" s="51">
        <f>SUM(P72,V72,AB72,AH72,AN72,AT72,AZ72,BF72,BL72,BR72,BX72,CD72,CJ72,CV72,DB72,DH72,DN72,DS72,EF72,EL72,CP72,DZ72)/BULLETIN!$G$38*100</f>
        <v>0</v>
      </c>
      <c r="EY72" s="52" t="str">
        <f t="shared" si="14"/>
        <v>10e</v>
      </c>
      <c r="EZ72" s="51">
        <f>SUM(Q72,W72,AC72,AI72,AO72,AU72,BA72,BG72,BM72,BS72,BY72,CE72,CK72,CW72,DC72,DI72,DO72,DU72,EG72,EM72,EA72,CQ72)/BULLETIN!$H$38*100</f>
        <v>0</v>
      </c>
      <c r="FA72" s="52" t="str">
        <f t="shared" si="15"/>
        <v>10e</v>
      </c>
      <c r="FB72" s="51">
        <f>SUM(O72:Q72,U72:W72,AA72:AC72,AG72:AI72,AM72:AO72,AS72:AU72,AY72:BA72,BE72:BG72,BK72:BM72,BQ72:BS72,BW72:BY72,CC72:CE72,CI72:CK72,CU72:CW72,DA72:DC72,DM72:DO72,DS72:DU72,EE72:EG72,EK72:EM72,DG72:DI72,CO72:CQ72,DY72:EA72)/BULLETIN!$I$38*100</f>
        <v>0</v>
      </c>
      <c r="FC72" s="52" t="str">
        <f t="shared" si="16"/>
        <v>10e</v>
      </c>
      <c r="FD72" s="51">
        <f>SUM(L72:EM72)/BULLETIN!$J$38*100</f>
        <v>0</v>
      </c>
      <c r="FE72" s="52" t="str">
        <f t="shared" si="17"/>
        <v>10e</v>
      </c>
    </row>
    <row r="73" spans="1:161" ht="15" thickTop="1" x14ac:dyDescent="0.35"/>
  </sheetData>
  <mergeCells count="32">
    <mergeCell ref="CX1:DC1"/>
    <mergeCell ref="BH1:BM1"/>
    <mergeCell ref="L1:Q1"/>
    <mergeCell ref="R1:W1"/>
    <mergeCell ref="X1:AC1"/>
    <mergeCell ref="AJ1:AO1"/>
    <mergeCell ref="AV1:BA1"/>
    <mergeCell ref="BB1:BG1"/>
    <mergeCell ref="CR1:CW1"/>
    <mergeCell ref="BT1:BY1"/>
    <mergeCell ref="BN1:BS1"/>
    <mergeCell ref="AD1:AI1"/>
    <mergeCell ref="AP1:AU1"/>
    <mergeCell ref="BZ1:CE1"/>
    <mergeCell ref="CF1:CK1"/>
    <mergeCell ref="CL1:CQ1"/>
    <mergeCell ref="FB2:FC2"/>
    <mergeCell ref="FD2:FE2"/>
    <mergeCell ref="EN1:FE1"/>
    <mergeCell ref="EH1:EM1"/>
    <mergeCell ref="DD1:DI1"/>
    <mergeCell ref="EB1:EG1"/>
    <mergeCell ref="EN2:EO2"/>
    <mergeCell ref="EP2:EQ2"/>
    <mergeCell ref="ER2:ES2"/>
    <mergeCell ref="EV2:EW2"/>
    <mergeCell ref="EX2:EY2"/>
    <mergeCell ref="EZ2:FA2"/>
    <mergeCell ref="ET2:EU2"/>
    <mergeCell ref="DJ1:DO1"/>
    <mergeCell ref="DP1:DU1"/>
    <mergeCell ref="DV1:EA1"/>
  </mergeCells>
  <pageMargins left="0.7" right="0.7" top="0.75" bottom="0.75" header="0.3" footer="0.3"/>
  <pageSetup paperSize="9" orientation="portrait" r:id="rId1"/>
  <ignoredErrors>
    <ignoredError sqref="FD3:FD72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B20"/>
  <sheetViews>
    <sheetView workbookViewId="0">
      <selection activeCell="A5" sqref="A5"/>
    </sheetView>
  </sheetViews>
  <sheetFormatPr baseColWidth="10" defaultRowHeight="14.5" x14ac:dyDescent="0.35"/>
  <cols>
    <col min="1" max="1" width="5.1796875" customWidth="1"/>
    <col min="2" max="2" width="26.1796875" customWidth="1"/>
  </cols>
  <sheetData>
    <row r="1" spans="1:2" ht="15.75" customHeight="1" x14ac:dyDescent="0.35">
      <c r="A1" s="136" t="s">
        <v>93</v>
      </c>
      <c r="B1" s="136" t="s">
        <v>39</v>
      </c>
    </row>
    <row r="2" spans="1:2" x14ac:dyDescent="0.35">
      <c r="A2" s="136"/>
      <c r="B2" s="136"/>
    </row>
    <row r="3" spans="1:2" x14ac:dyDescent="0.35">
      <c r="A3" s="14">
        <v>1</v>
      </c>
      <c r="B3" s="13" t="s">
        <v>85</v>
      </c>
    </row>
    <row r="4" spans="1:2" x14ac:dyDescent="0.35">
      <c r="A4" s="14">
        <f>IF(B4&lt;&gt;"",1+A3,"")</f>
        <v>2</v>
      </c>
      <c r="B4" s="13" t="s">
        <v>86</v>
      </c>
    </row>
    <row r="5" spans="1:2" x14ac:dyDescent="0.35">
      <c r="A5" s="14">
        <f t="shared" ref="A5:A20" si="0">IF(B5&lt;&gt;"",1+A4,"")</f>
        <v>3</v>
      </c>
      <c r="B5" s="13" t="s">
        <v>87</v>
      </c>
    </row>
    <row r="6" spans="1:2" x14ac:dyDescent="0.35">
      <c r="A6" s="14">
        <f t="shared" si="0"/>
        <v>4</v>
      </c>
      <c r="B6" s="13" t="s">
        <v>88</v>
      </c>
    </row>
    <row r="7" spans="1:2" x14ac:dyDescent="0.35">
      <c r="A7" s="14">
        <f t="shared" si="0"/>
        <v>5</v>
      </c>
      <c r="B7" s="13" t="s">
        <v>89</v>
      </c>
    </row>
    <row r="8" spans="1:2" x14ac:dyDescent="0.35">
      <c r="A8" s="14">
        <f t="shared" si="0"/>
        <v>6</v>
      </c>
      <c r="B8" s="13" t="s">
        <v>90</v>
      </c>
    </row>
    <row r="9" spans="1:2" x14ac:dyDescent="0.35">
      <c r="A9" s="14">
        <f t="shared" si="0"/>
        <v>7</v>
      </c>
      <c r="B9" s="13" t="s">
        <v>91</v>
      </c>
    </row>
    <row r="10" spans="1:2" x14ac:dyDescent="0.35">
      <c r="A10" s="14">
        <f t="shared" si="0"/>
        <v>8</v>
      </c>
      <c r="B10" s="13" t="s">
        <v>92</v>
      </c>
    </row>
    <row r="11" spans="1:2" x14ac:dyDescent="0.35">
      <c r="A11" s="14">
        <f t="shared" si="0"/>
        <v>9</v>
      </c>
      <c r="B11" s="13" t="s">
        <v>94</v>
      </c>
    </row>
    <row r="12" spans="1:2" x14ac:dyDescent="0.35">
      <c r="A12" s="14">
        <f t="shared" si="0"/>
        <v>10</v>
      </c>
      <c r="B12" s="13" t="s">
        <v>95</v>
      </c>
    </row>
    <row r="13" spans="1:2" x14ac:dyDescent="0.35">
      <c r="A13" s="14">
        <f t="shared" si="0"/>
        <v>11</v>
      </c>
      <c r="B13" s="13" t="s">
        <v>96</v>
      </c>
    </row>
    <row r="14" spans="1:2" x14ac:dyDescent="0.35">
      <c r="A14" s="14">
        <f t="shared" si="0"/>
        <v>12</v>
      </c>
      <c r="B14" s="13" t="s">
        <v>97</v>
      </c>
    </row>
    <row r="15" spans="1:2" x14ac:dyDescent="0.35">
      <c r="A15" s="14">
        <f t="shared" si="0"/>
        <v>13</v>
      </c>
      <c r="B15" s="13" t="s">
        <v>91</v>
      </c>
    </row>
    <row r="16" spans="1:2" x14ac:dyDescent="0.35">
      <c r="A16" s="14">
        <f t="shared" si="0"/>
        <v>14</v>
      </c>
      <c r="B16" s="13" t="s">
        <v>98</v>
      </c>
    </row>
    <row r="17" spans="1:2" x14ac:dyDescent="0.35">
      <c r="A17" s="14">
        <f t="shared" si="0"/>
        <v>15</v>
      </c>
      <c r="B17" s="13" t="s">
        <v>99</v>
      </c>
    </row>
    <row r="18" spans="1:2" x14ac:dyDescent="0.35">
      <c r="A18" s="14">
        <f t="shared" si="0"/>
        <v>16</v>
      </c>
      <c r="B18" s="13" t="s">
        <v>100</v>
      </c>
    </row>
    <row r="19" spans="1:2" x14ac:dyDescent="0.35">
      <c r="A19" s="14">
        <f t="shared" si="0"/>
        <v>17</v>
      </c>
      <c r="B19" s="13" t="s">
        <v>101</v>
      </c>
    </row>
    <row r="20" spans="1:2" x14ac:dyDescent="0.35">
      <c r="A20" s="14" t="str">
        <f t="shared" si="0"/>
        <v/>
      </c>
      <c r="B20" s="13"/>
    </row>
  </sheetData>
  <mergeCells count="2">
    <mergeCell ref="B1:B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BULLETIN</vt:lpstr>
      <vt:lpstr>LISTE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Fidèle CHIWENGO KT</dc:creator>
  <cp:lastModifiedBy>hp</cp:lastModifiedBy>
  <cp:lastPrinted>2024-12-27T10:59:46Z</cp:lastPrinted>
  <dcterms:created xsi:type="dcterms:W3CDTF">2023-04-03T18:18:01Z</dcterms:created>
  <dcterms:modified xsi:type="dcterms:W3CDTF">2025-10-19T10:30:42Z</dcterms:modified>
</cp:coreProperties>
</file>