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6E814F-9BE2-4B0D-A77A-ECE80329C781}" xr6:coauthVersionLast="47" xr6:coauthVersionMax="47" xr10:uidLastSave="{00000000-0000-0000-0000-000000000000}"/>
  <bookViews>
    <workbookView xWindow="-120" yWindow="-120" windowWidth="20730" windowHeight="11160" firstSheet="18" activeTab="23" xr2:uid="{89B7127E-56C7-4BCF-B59F-93AF420AE1AE}"/>
  </bookViews>
  <sheets>
    <sheet name="1 PRIM A" sheetId="1" r:id="rId1"/>
    <sheet name="1 PRIM B" sheetId="2" r:id="rId2"/>
    <sheet name="2 PRIM" sheetId="3" r:id="rId3"/>
    <sheet name="3 PRIM" sheetId="4" r:id="rId4"/>
    <sheet name="4 PRIM" sheetId="5" r:id="rId5"/>
    <sheet name="5 PRIM" sheetId="6" r:id="rId6"/>
    <sheet name="6 PRIM" sheetId="7" r:id="rId7"/>
    <sheet name="J. MPOYI" sheetId="9" r:id="rId8"/>
    <sheet name="C. KADIAYI" sheetId="10" r:id="rId9"/>
    <sheet name="D. NGOY" sheetId="11" r:id="rId10"/>
    <sheet name="G. BEYA" sheetId="12" r:id="rId11"/>
    <sheet name="A. KADJIBA" sheetId="13" r:id="rId12"/>
    <sheet name="F. MBUYAMBA" sheetId="14" r:id="rId13"/>
    <sheet name="CHRISTIN" sheetId="15" r:id="rId14"/>
    <sheet name="J.MUNUNG" sheetId="16" r:id="rId15"/>
    <sheet name="J.NTUMBA" sheetId="17" r:id="rId16"/>
    <sheet name="BALTHAZAR" sheetId="18" r:id="rId17"/>
    <sheet name="Mm NICLETTE" sheetId="19" r:id="rId18"/>
    <sheet name="Mm CLEMENTINE" sheetId="20" r:id="rId19"/>
    <sheet name="Mm JUDITH" sheetId="21" r:id="rId20"/>
    <sheet name="Mr PAUL" sheetId="22" r:id="rId21"/>
    <sheet name="Mr LEDOUX" sheetId="23" r:id="rId22"/>
    <sheet name="Mr JOEL" sheetId="24" r:id="rId23"/>
    <sheet name="Mr MARCEL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6" l="1"/>
  <c r="I16" i="16"/>
  <c r="H15" i="16"/>
  <c r="I15" i="16"/>
  <c r="H14" i="16"/>
  <c r="I14" i="16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3" i="7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3" i="5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3" i="2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D2" i="4" l="1"/>
  <c r="D2" i="5" s="1"/>
  <c r="D2" i="6" s="1"/>
  <c r="D2" i="7" s="1"/>
  <c r="E2" i="4"/>
  <c r="E2" i="5" s="1"/>
  <c r="E2" i="6" s="1"/>
  <c r="E2" i="7" s="1"/>
  <c r="F2" i="4"/>
  <c r="F2" i="5" s="1"/>
  <c r="F2" i="6" s="1"/>
  <c r="F2" i="7" s="1"/>
  <c r="G2" i="4"/>
  <c r="G2" i="5" s="1"/>
  <c r="G2" i="6" s="1"/>
  <c r="G2" i="7" s="1"/>
  <c r="H2" i="4"/>
  <c r="H2" i="5" s="1"/>
  <c r="H2" i="6" s="1"/>
  <c r="H2" i="7" s="1"/>
  <c r="I2" i="4"/>
  <c r="I2" i="5" s="1"/>
  <c r="I2" i="6" s="1"/>
  <c r="I2" i="7" s="1"/>
  <c r="J2" i="4"/>
  <c r="J2" i="5" s="1"/>
  <c r="J2" i="6" s="1"/>
  <c r="J2" i="7" s="1"/>
  <c r="K2" i="4"/>
  <c r="K2" i="5" s="1"/>
  <c r="K2" i="6" s="1"/>
  <c r="K2" i="7" s="1"/>
  <c r="L2" i="4"/>
  <c r="L2" i="5" s="1"/>
  <c r="L2" i="6" s="1"/>
  <c r="L2" i="7" s="1"/>
  <c r="M2" i="4"/>
  <c r="M2" i="5" s="1"/>
  <c r="M2" i="6" s="1"/>
  <c r="M2" i="7" s="1"/>
  <c r="N2" i="4"/>
  <c r="N2" i="5" s="1"/>
  <c r="N2" i="6" s="1"/>
  <c r="N2" i="7" s="1"/>
  <c r="O2" i="4"/>
  <c r="O2" i="5" s="1"/>
  <c r="O2" i="6" s="1"/>
  <c r="O2" i="7" s="1"/>
  <c r="C2" i="4"/>
  <c r="C2" i="5" s="1"/>
  <c r="C2" i="6" s="1"/>
  <c r="C2" i="7" s="1"/>
  <c r="D2" i="3"/>
  <c r="E2" i="3"/>
  <c r="F2" i="3"/>
  <c r="G2" i="3"/>
  <c r="H2" i="3"/>
  <c r="I2" i="3"/>
  <c r="J2" i="3"/>
  <c r="K2" i="3"/>
  <c r="L2" i="3"/>
  <c r="M2" i="3"/>
  <c r="N2" i="3"/>
  <c r="O2" i="3"/>
  <c r="C2" i="3"/>
  <c r="D2" i="2"/>
  <c r="E2" i="2"/>
  <c r="F2" i="2"/>
  <c r="G2" i="2"/>
  <c r="H2" i="2"/>
  <c r="I2" i="2"/>
  <c r="J2" i="2"/>
  <c r="K2" i="2"/>
  <c r="L2" i="2"/>
  <c r="M2" i="2"/>
  <c r="N2" i="2"/>
  <c r="O2" i="2"/>
  <c r="C2" i="2"/>
</calcChain>
</file>

<file path=xl/sharedStrings.xml><?xml version="1.0" encoding="utf-8"?>
<sst xmlns="http://schemas.openxmlformats.org/spreadsheetml/2006/main" count="1226" uniqueCount="300">
  <si>
    <t>NOM POSTNOM PRENOM</t>
  </si>
  <si>
    <t>DISCIPLINE</t>
  </si>
  <si>
    <t>PONDERATION</t>
  </si>
  <si>
    <t xml:space="preserve"> </t>
  </si>
  <si>
    <t>EXPRESSION ORALE</t>
  </si>
  <si>
    <t>EXPRESSION ECRITE</t>
  </si>
  <si>
    <t>VOCABULAIRE</t>
  </si>
  <si>
    <t>LECTURE ECRITURE</t>
  </si>
  <si>
    <t>MESURE DES GRANDEURS</t>
  </si>
  <si>
    <t>FORMES GEOMETRIQUES</t>
  </si>
  <si>
    <t>NUMERATION</t>
  </si>
  <si>
    <t>OPERATIONS</t>
  </si>
  <si>
    <t>PROBLEMES</t>
  </si>
  <si>
    <t>SCIENCES D’EVEIL</t>
  </si>
  <si>
    <t>TECNOLOGIES</t>
  </si>
  <si>
    <t>ED CIV ET MORALE</t>
  </si>
  <si>
    <t>ED SANTE ET ENVIRONNEMENT</t>
  </si>
  <si>
    <t>ARTS PLASTIQUES</t>
  </si>
  <si>
    <t>ARTS DRAMATIQUES</t>
  </si>
  <si>
    <t>ED PHY ET SPORTIVES</t>
  </si>
  <si>
    <t>TRAVAIL MANUEL</t>
  </si>
  <si>
    <t>RELIGION</t>
  </si>
  <si>
    <t>P1</t>
  </si>
  <si>
    <t>P2</t>
  </si>
  <si>
    <t>P3</t>
  </si>
  <si>
    <t>EX</t>
  </si>
  <si>
    <t>S1</t>
  </si>
  <si>
    <t>P4</t>
  </si>
  <si>
    <t>P5</t>
  </si>
  <si>
    <t>P6</t>
  </si>
  <si>
    <t>S2</t>
  </si>
  <si>
    <t>S3</t>
  </si>
  <si>
    <t>CELESTIN MBAYA</t>
  </si>
  <si>
    <t>TG</t>
  </si>
  <si>
    <t>COURS / 1ere B</t>
  </si>
  <si>
    <t>WAGUMIA VICTORINE</t>
  </si>
  <si>
    <t xml:space="preserve">COURS / 2 eme </t>
  </si>
  <si>
    <t>EXPRESSION ORALE  ET VOCABULAIRE</t>
  </si>
  <si>
    <t>GRAMMAIRE ET CONJUGAISON</t>
  </si>
  <si>
    <t>ORTHOGRAPHE ET REDACTION</t>
  </si>
  <si>
    <t>EXPRESSION ORALE RECITATION ET VOC</t>
  </si>
  <si>
    <t>ORTH PHRASE. ECRIT RED</t>
  </si>
  <si>
    <t>GRAMMAIRE CONJUGAISON ANALYSE</t>
  </si>
  <si>
    <t>MESURES DES GRANDEURS</t>
  </si>
  <si>
    <t>FORMES GEOMETRIES</t>
  </si>
  <si>
    <t>ZOOLOGIE, BOTANIQUE ET INFORMATIQUE</t>
  </si>
  <si>
    <t>TECNOLOGIE</t>
  </si>
  <si>
    <t>GEOGRAPHIE</t>
  </si>
  <si>
    <t>HISTOIRE</t>
  </si>
  <si>
    <t>COURS / 3eme</t>
  </si>
  <si>
    <t>JONAS KONGOLO</t>
  </si>
  <si>
    <t>RICHARD TSHIBANGU</t>
  </si>
  <si>
    <t xml:space="preserve">COURS / 4eme </t>
  </si>
  <si>
    <t>MBUYI NGANDU MICHELLINE</t>
  </si>
  <si>
    <t>EXPRESSION ORALE ET VOCABULAIRE</t>
  </si>
  <si>
    <t>ORTHOGRAPHE</t>
  </si>
  <si>
    <t>REDACTION</t>
  </si>
  <si>
    <t>MESURES DE GRANDEURS</t>
  </si>
  <si>
    <t>ZOOLOGIE, PHYSIQUE ET INFORMATIQUE</t>
  </si>
  <si>
    <t>BOTANIQUE ANATOMIE</t>
  </si>
  <si>
    <t xml:space="preserve">COURS / CLASSE 5eme </t>
  </si>
  <si>
    <t xml:space="preserve">COURS / CLASSE 6eme </t>
  </si>
  <si>
    <t>GEDEON KABAMBA</t>
  </si>
  <si>
    <t>N°</t>
  </si>
  <si>
    <t>CLASSE</t>
  </si>
  <si>
    <t>GEOMETRIE</t>
  </si>
  <si>
    <r>
      <t>1</t>
    </r>
    <r>
      <rPr>
        <vertAlign val="superscript"/>
        <sz val="12"/>
        <color theme="1"/>
        <rFont val="Aptos"/>
        <family val="2"/>
      </rPr>
      <t>ér</t>
    </r>
    <r>
      <rPr>
        <sz val="12"/>
        <color theme="1"/>
        <rFont val="Aptos"/>
        <family val="2"/>
      </rPr>
      <t xml:space="preserve">  SC</t>
    </r>
  </si>
  <si>
    <t>1H</t>
  </si>
  <si>
    <t>ALGEBRE</t>
  </si>
  <si>
    <r>
      <t>2</t>
    </r>
    <r>
      <rPr>
        <vertAlign val="superscript"/>
        <sz val="12"/>
        <color theme="1"/>
        <rFont val="Aptos"/>
        <family val="2"/>
      </rPr>
      <t>ém</t>
    </r>
    <r>
      <rPr>
        <sz val="12"/>
        <color theme="1"/>
        <rFont val="Aptos"/>
        <family val="2"/>
      </rPr>
      <t xml:space="preserve"> SC</t>
    </r>
  </si>
  <si>
    <t>2H</t>
  </si>
  <si>
    <r>
      <t>3</t>
    </r>
    <r>
      <rPr>
        <vertAlign val="superscript"/>
        <sz val="12"/>
        <color theme="1"/>
        <rFont val="Aptos"/>
        <family val="2"/>
      </rPr>
      <t>ém</t>
    </r>
    <r>
      <rPr>
        <sz val="12"/>
        <color theme="1"/>
        <rFont val="Aptos"/>
        <family val="2"/>
      </rPr>
      <t xml:space="preserve"> SC</t>
    </r>
  </si>
  <si>
    <t>DESSIN SCIENTIFIQUE</t>
  </si>
  <si>
    <r>
      <t>7</t>
    </r>
    <r>
      <rPr>
        <vertAlign val="superscript"/>
        <sz val="12"/>
        <color theme="1"/>
        <rFont val="Aptos"/>
        <family val="2"/>
      </rPr>
      <t>ém</t>
    </r>
    <r>
      <rPr>
        <sz val="12"/>
        <color theme="1"/>
        <rFont val="Aptos"/>
        <family val="2"/>
      </rPr>
      <t xml:space="preserve"> EB</t>
    </r>
  </si>
  <si>
    <t>PROBABILITE</t>
  </si>
  <si>
    <r>
      <t>4</t>
    </r>
    <r>
      <rPr>
        <vertAlign val="superscript"/>
        <sz val="12"/>
        <color theme="1"/>
        <rFont val="Aptos"/>
        <family val="2"/>
      </rPr>
      <t>ém</t>
    </r>
    <r>
      <rPr>
        <sz val="12"/>
        <color theme="1"/>
        <rFont val="Aptos"/>
        <family val="2"/>
      </rPr>
      <t xml:space="preserve">  SC</t>
    </r>
  </si>
  <si>
    <t>TRIGONOMETRIE</t>
  </si>
  <si>
    <t>STATISTIQUE</t>
  </si>
  <si>
    <t>NOM</t>
  </si>
  <si>
    <t>EXA</t>
  </si>
  <si>
    <t>H</t>
  </si>
  <si>
    <r>
      <t>7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EB</t>
    </r>
  </si>
  <si>
    <t>4H</t>
  </si>
  <si>
    <r>
      <t>8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EB</t>
    </r>
  </si>
  <si>
    <t>ARTHMETIQUE</t>
  </si>
  <si>
    <t>SCIENCE CHIMIQUE</t>
  </si>
  <si>
    <r>
      <t>1</t>
    </r>
    <r>
      <rPr>
        <vertAlign val="superscript"/>
        <sz val="11"/>
        <color theme="1"/>
        <rFont val="Aptos"/>
        <family val="2"/>
      </rPr>
      <t>ér</t>
    </r>
    <r>
      <rPr>
        <sz val="11"/>
        <color theme="1"/>
        <rFont val="Aptos"/>
        <family val="2"/>
      </rPr>
      <t xml:space="preserve"> SC</t>
    </r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</si>
  <si>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SC</t>
    </r>
  </si>
  <si>
    <t>ECOLOGIE</t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</si>
  <si>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SC</t>
    </r>
  </si>
  <si>
    <t>GEOLOGIE</t>
  </si>
  <si>
    <t>BIOLOGIE</t>
  </si>
  <si>
    <t>CHIMIE</t>
  </si>
  <si>
    <t>3H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</si>
  <si>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SC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</si>
  <si>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LT, HP</t>
    </r>
  </si>
  <si>
    <t>EVOLUTION</t>
  </si>
  <si>
    <t>MICROBIOLOGIE</t>
  </si>
  <si>
    <t>CLEMENT KADIAYI</t>
  </si>
  <si>
    <t>ZOLOGIE</t>
  </si>
  <si>
    <t>BOTANIQUE</t>
  </si>
  <si>
    <t>ANATOMIE</t>
  </si>
  <si>
    <t>TECHNOLOGIE</t>
  </si>
  <si>
    <t>EDUCATION A LA VIE</t>
  </si>
  <si>
    <t>CHIEMIE</t>
  </si>
  <si>
    <t>SVC</t>
  </si>
  <si>
    <t>NGOY WA NGOY DECABLOT</t>
  </si>
  <si>
    <t>CIVISME</t>
  </si>
  <si>
    <t>GEO ECONOMIQUE</t>
  </si>
  <si>
    <r>
      <t>1</t>
    </r>
    <r>
      <rPr>
        <vertAlign val="superscript"/>
        <sz val="11"/>
        <color theme="1"/>
        <rFont val="Aptos"/>
        <family val="2"/>
      </rPr>
      <t>ér</t>
    </r>
    <r>
      <rPr>
        <sz val="11"/>
        <color theme="1"/>
        <rFont val="Aptos"/>
        <family val="2"/>
      </rPr>
      <t xml:space="preserve"> CG</t>
    </r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</si>
  <si>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CG</t>
    </r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</si>
  <si>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CG</t>
    </r>
  </si>
  <si>
    <r>
      <t>1</t>
    </r>
    <r>
      <rPr>
        <vertAlign val="superscript"/>
        <sz val="11"/>
        <color theme="1"/>
        <rFont val="Aptos"/>
        <family val="2"/>
      </rPr>
      <t>ér</t>
    </r>
    <r>
      <rPr>
        <sz val="11"/>
        <color theme="1"/>
        <rFont val="Aptos"/>
        <family val="2"/>
      </rPr>
      <t xml:space="preserve"> TOUS</t>
    </r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</si>
  <si>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TOUS</t>
    </r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</si>
  <si>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TOUS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</si>
  <si>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TOUS</t>
    </r>
  </si>
  <si>
    <t>DROIT</t>
  </si>
  <si>
    <t>HISSTOIRE</t>
  </si>
  <si>
    <t>BEYA TSHILENGE GABRIEL</t>
  </si>
  <si>
    <t>ANGLAIS</t>
  </si>
  <si>
    <t>FRANCAIS</t>
  </si>
  <si>
    <t>5H</t>
  </si>
  <si>
    <t>LATIN</t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</si>
  <si>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L T</t>
    </r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</si>
  <si>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L T</t>
    </r>
  </si>
  <si>
    <t>PHILOSOPHIE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</si>
  <si>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HP LT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</si>
  <si>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HP LT CG SC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</si>
  <si>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TCC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</si>
  <si>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CG</t>
    </r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</si>
  <si>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TCC</t>
    </r>
  </si>
  <si>
    <t>KADJIBA KYUNGU AUGUSTIN</t>
  </si>
  <si>
    <t>7ém EB</t>
  </si>
  <si>
    <t>1éTOUS</t>
  </si>
  <si>
    <r>
      <t>1</t>
    </r>
    <r>
      <rPr>
        <vertAlign val="superscript"/>
        <sz val="11"/>
        <color theme="1"/>
        <rFont val="Aptos"/>
        <family val="2"/>
      </rPr>
      <t>ér</t>
    </r>
    <r>
      <rPr>
        <sz val="11"/>
        <color theme="1"/>
        <rFont val="Aptos"/>
        <family val="2"/>
      </rPr>
      <t xml:space="preserve"> LT</t>
    </r>
  </si>
  <si>
    <t>6H</t>
  </si>
  <si>
    <t>3ém MG MA ELEC</t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</si>
  <si>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LT SC CG</t>
    </r>
  </si>
  <si>
    <t>1ér CG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</si>
  <si>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LT</t>
    </r>
  </si>
  <si>
    <t>8H</t>
  </si>
  <si>
    <t>MBUYAMBA MOLOWAYI FABRICE</t>
  </si>
  <si>
    <t>SOCAF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</si>
  <si>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HP LT SC</t>
    </r>
  </si>
  <si>
    <t>DIDACTIQUE GENERALE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</si>
  <si>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HP</t>
    </r>
  </si>
  <si>
    <t>MBATSHI SHAMASHANGA CHRISTIN</t>
  </si>
  <si>
    <t>MUSIQUE</t>
  </si>
  <si>
    <t>8ém EB</t>
  </si>
  <si>
    <t>TIC</t>
  </si>
  <si>
    <t>1é HP SC LT</t>
  </si>
  <si>
    <t>2ém  HP SC LT</t>
  </si>
  <si>
    <t>INFORMATIQUE</t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</si>
  <si>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 CG</t>
    </r>
  </si>
  <si>
    <t>PEDAGOGIE</t>
  </si>
  <si>
    <r>
      <t>1</t>
    </r>
    <r>
      <rPr>
        <vertAlign val="superscript"/>
        <sz val="11"/>
        <color theme="1"/>
        <rFont val="Aptos"/>
        <family val="2"/>
      </rPr>
      <t>ér</t>
    </r>
    <r>
      <rPr>
        <sz val="11"/>
        <color theme="1"/>
        <rFont val="Aptos"/>
        <family val="2"/>
      </rPr>
      <t xml:space="preserve"> HP</t>
    </r>
  </si>
  <si>
    <t>2ém  HP</t>
  </si>
  <si>
    <t>3ém  HP</t>
  </si>
  <si>
    <t>DIDACTIQUE DES DISCIPLINES</t>
  </si>
  <si>
    <t>DESSIN PEDAGOGIQUE</t>
  </si>
  <si>
    <t>ESTHETIQUE</t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</si>
  <si>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SC LT HP</t>
    </r>
  </si>
  <si>
    <t>EPS</t>
  </si>
  <si>
    <t>8 EB</t>
  </si>
  <si>
    <t>MUNUNG PIMAKO JACKSON</t>
  </si>
  <si>
    <t>MATH</t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</si>
  <si>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HP LT CG</t>
    </r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</si>
  <si>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HP LT CG</t>
    </r>
  </si>
  <si>
    <r>
      <t>4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 HP CG LT</t>
    </r>
  </si>
  <si>
    <t>PHYSIQUE</t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</si>
  <si>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HP LT</t>
    </r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</si>
  <si>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HP LT</t>
    </r>
  </si>
  <si>
    <t>METAL</t>
  </si>
  <si>
    <r>
      <t>2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MA MG</t>
    </r>
  </si>
  <si>
    <t>TAG</t>
  </si>
  <si>
    <t>1é MG MA ELEC</t>
  </si>
  <si>
    <t>TECHNO AUTO</t>
  </si>
  <si>
    <r>
      <t>3</t>
    </r>
    <r>
      <rPr>
        <vertAlign val="superscript"/>
        <sz val="11"/>
        <color theme="1"/>
        <rFont val="Aptos"/>
        <family val="2"/>
      </rPr>
      <t>ém</t>
    </r>
    <r>
      <rPr>
        <sz val="11"/>
        <color theme="1"/>
        <rFont val="Aptos"/>
        <family val="2"/>
      </rPr>
      <t xml:space="preserve"> MA MG</t>
    </r>
  </si>
  <si>
    <t>1é MA MG</t>
  </si>
  <si>
    <t>ELECTRICITE GENERALE</t>
  </si>
  <si>
    <t>1é MA MG ELEC</t>
  </si>
  <si>
    <t>NTUMBA MBOWA JOSEPH</t>
  </si>
  <si>
    <t>DI</t>
  </si>
  <si>
    <t>MG</t>
  </si>
  <si>
    <t>MEC APPL</t>
  </si>
  <si>
    <t>3ème</t>
  </si>
  <si>
    <t>1ème</t>
  </si>
  <si>
    <t>2è</t>
  </si>
  <si>
    <t>1TOUTES</t>
  </si>
  <si>
    <t>3 MA, MG</t>
  </si>
  <si>
    <t>3èm</t>
  </si>
  <si>
    <t>1SC</t>
  </si>
  <si>
    <t>2SC</t>
  </si>
  <si>
    <t>3SC</t>
  </si>
  <si>
    <t>4 GENERA</t>
  </si>
  <si>
    <t>BALTHAZAR</t>
  </si>
  <si>
    <t>TE</t>
  </si>
  <si>
    <t>EL GE</t>
  </si>
  <si>
    <t>NICLETTE NSAMBA</t>
  </si>
  <si>
    <t>COUPE</t>
  </si>
  <si>
    <t>2 EL</t>
  </si>
  <si>
    <t>1EL</t>
  </si>
  <si>
    <t>1MA, MG</t>
  </si>
  <si>
    <t>2 MA MG</t>
  </si>
  <si>
    <t>2 ELEC</t>
  </si>
  <si>
    <t>3 ELE</t>
  </si>
  <si>
    <t>1TCC</t>
  </si>
  <si>
    <t>2TCC</t>
  </si>
  <si>
    <t>3TCC</t>
  </si>
  <si>
    <t>4TCC</t>
  </si>
  <si>
    <t>CLEMENTINE NGALULA</t>
  </si>
  <si>
    <t>JUDITH NJIBA</t>
  </si>
  <si>
    <t>7EB</t>
  </si>
  <si>
    <t>PAUL MEMBA</t>
  </si>
  <si>
    <t>FISCALITE</t>
  </si>
  <si>
    <t>1CG</t>
  </si>
  <si>
    <t>2CG</t>
  </si>
  <si>
    <t>3CG</t>
  </si>
  <si>
    <t>4CG</t>
  </si>
  <si>
    <t>4é CG, TCC</t>
  </si>
  <si>
    <t>LEDOUX KABWE</t>
  </si>
  <si>
    <t>ACTICO</t>
  </si>
  <si>
    <t>ENTRE</t>
  </si>
  <si>
    <t>Junior Joel NGANDU</t>
  </si>
  <si>
    <t>4GEN</t>
  </si>
  <si>
    <t>3GEN</t>
  </si>
  <si>
    <t>2GEN</t>
  </si>
  <si>
    <t xml:space="preserve">Marcel </t>
  </si>
  <si>
    <t>EDVIE</t>
  </si>
  <si>
    <t>8EB</t>
  </si>
  <si>
    <t>1HP</t>
  </si>
  <si>
    <t>2HP</t>
  </si>
  <si>
    <t>4HP</t>
  </si>
  <si>
    <t>LANGUES CONGOLAISES</t>
  </si>
  <si>
    <t>LANGUES CONGOLAISE</t>
  </si>
  <si>
    <t>LANGUES FRA.</t>
  </si>
  <si>
    <t>LANGUE CO.</t>
  </si>
  <si>
    <t>LANGUE FRA.</t>
  </si>
  <si>
    <t>atelier ajustage</t>
  </si>
  <si>
    <t>atelier electrique</t>
  </si>
  <si>
    <t>2EL</t>
  </si>
  <si>
    <t>LABO</t>
  </si>
  <si>
    <t>2ém MA,MG</t>
  </si>
  <si>
    <t>ATELIER AJUSTAGE</t>
  </si>
  <si>
    <t>1 MA, MG</t>
  </si>
  <si>
    <t>4 TCC</t>
  </si>
  <si>
    <t>2 TCC</t>
  </si>
  <si>
    <t>3 TCC</t>
  </si>
  <si>
    <t>1 TCC</t>
  </si>
  <si>
    <t>3HP</t>
  </si>
  <si>
    <t>COUTURE INDUSTRIELE</t>
  </si>
  <si>
    <t>Dessin technique</t>
  </si>
  <si>
    <t>Education familliale</t>
  </si>
  <si>
    <t>Couture artisanale</t>
  </si>
  <si>
    <t xml:space="preserve">Couture indistrielle </t>
  </si>
  <si>
    <t>Technologie des textiles</t>
  </si>
  <si>
    <t>ESSAyage moulage</t>
  </si>
  <si>
    <t>technologie des textiles</t>
  </si>
  <si>
    <t>Technonolgie de la specialité</t>
  </si>
  <si>
    <t>Dessin artistique</t>
  </si>
  <si>
    <t xml:space="preserve">Exercices techniques </t>
  </si>
  <si>
    <t>Technologie de la specialité</t>
  </si>
  <si>
    <t>Exercices technique</t>
  </si>
  <si>
    <t xml:space="preserve">travaux menager </t>
  </si>
  <si>
    <t>Education FAMILIALE</t>
  </si>
  <si>
    <t>10H</t>
  </si>
  <si>
    <t>Documentation commerciale</t>
  </si>
  <si>
    <t>Economie de developpement</t>
  </si>
  <si>
    <t>Economie politique</t>
  </si>
  <si>
    <t>Mathematiques financieres</t>
  </si>
  <si>
    <t>Techno. Info &amp; communication</t>
  </si>
  <si>
    <t>Comptabilté analytique</t>
  </si>
  <si>
    <t>Comptabilté génerale</t>
  </si>
  <si>
    <t>OP.des banques et des crédits</t>
  </si>
  <si>
    <t xml:space="preserve">Pratique professionnelle </t>
  </si>
  <si>
    <t>1 CG</t>
  </si>
  <si>
    <t>2 CG</t>
  </si>
  <si>
    <t>Organisation des entreprises</t>
  </si>
  <si>
    <t>COMPTABILITE GENERALE</t>
  </si>
  <si>
    <t>MATHEMATIQUES FINANCIERES</t>
  </si>
  <si>
    <t>FINANCE PUBLIQUE</t>
  </si>
  <si>
    <t>PSYCHOLOGIE</t>
  </si>
  <si>
    <t>40H</t>
  </si>
  <si>
    <t>PRATIQUE D ENSEIGNEMENT</t>
  </si>
  <si>
    <t>Correspondance commerciale francaise</t>
  </si>
  <si>
    <t>2h</t>
  </si>
  <si>
    <t>7H</t>
  </si>
  <si>
    <t>Correspondance commerciale anglaise</t>
  </si>
  <si>
    <t>2 SC</t>
  </si>
  <si>
    <t>probabilite</t>
  </si>
  <si>
    <t>3 sc</t>
  </si>
  <si>
    <t>3h</t>
  </si>
  <si>
    <t>ELEMENT DE MACHINE</t>
  </si>
  <si>
    <t>MOTEUR TERMIQUE</t>
  </si>
  <si>
    <t>TECHNOLOGIE DES MACHINES OUTILS</t>
  </si>
  <si>
    <t>ELEMENT DES MACHINES</t>
  </si>
  <si>
    <t>4SC</t>
  </si>
  <si>
    <t>Electronic</t>
  </si>
  <si>
    <t>machine elec</t>
  </si>
  <si>
    <t>intruit. METH.MESURE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</si>
</sst>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4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0"/>
      <color theme="1"/>
      <name val="Aptos"/>
      <family val="2"/>
    </font>
    <font>
      <vertAlign val="superscript"/>
      <sz val="12"/>
      <color theme="1"/>
      <name val="Aptos"/>
      <family val="2"/>
    </font>
    <font>
      <vertAlign val="superscript"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10" xfId="0" applyBorder="1"/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11" xfId="0" applyBorder="1"/>
    <xf numFmtId="0" fontId="1" fillId="0" borderId="4" xfId="0" applyFont="1" applyBorder="1" applyAlignment="1">
      <alignment vertical="center" wrapText="1"/>
    </xf>
    <xf numFmtId="0" fontId="0" fillId="0" borderId="8" xfId="0" applyBorder="1"/>
    <xf numFmtId="0" fontId="1" fillId="0" borderId="10" xfId="0" applyFont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1" fillId="0" borderId="24" xfId="0" applyFont="1" applyFill="1" applyBorder="1" applyAlignment="1">
      <alignment vertical="center" wrapText="1"/>
    </xf>
    <xf numFmtId="0" fontId="0" fillId="0" borderId="25" xfId="0" applyBorder="1"/>
    <xf numFmtId="0" fontId="1" fillId="0" borderId="26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0" fillId="0" borderId="27" xfId="0" applyBorder="1"/>
    <xf numFmtId="0" fontId="0" fillId="0" borderId="28" xfId="0" applyBorder="1"/>
    <xf numFmtId="0" fontId="1" fillId="0" borderId="4" xfId="0" applyFont="1" applyFill="1" applyBorder="1" applyAlignment="1">
      <alignment vertical="center" wrapText="1"/>
    </xf>
    <xf numFmtId="0" fontId="0" fillId="0" borderId="4" xfId="0" applyFill="1" applyBorder="1"/>
    <xf numFmtId="0" fontId="0" fillId="0" borderId="0" xfId="0" applyFill="1" applyBorder="1"/>
    <xf numFmtId="0" fontId="0" fillId="0" borderId="29" xfId="0" applyFill="1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wrapText="1"/>
    </xf>
    <xf numFmtId="0" fontId="3" fillId="0" borderId="4" xfId="0" applyFont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textRotation="255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19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BDF2-3C2F-40AA-A1ED-5E73BFD9BBC7}">
  <dimension ref="A1:O21"/>
  <sheetViews>
    <sheetView workbookViewId="0">
      <selection activeCell="C21" sqref="C21"/>
    </sheetView>
  </sheetViews>
  <sheetFormatPr baseColWidth="10" defaultRowHeight="15" x14ac:dyDescent="0.25"/>
  <cols>
    <col min="1" max="1" width="14.140625" customWidth="1"/>
    <col min="2" max="2" width="25.7109375" customWidth="1"/>
    <col min="3" max="15" width="3.7109375" customWidth="1"/>
    <col min="16" max="16" width="3.42578125" customWidth="1"/>
  </cols>
  <sheetData>
    <row r="1" spans="1:15" ht="20.25" customHeight="1" thickBot="1" x14ac:dyDescent="0.3">
      <c r="A1" s="38" t="s">
        <v>0</v>
      </c>
      <c r="B1" s="40" t="s">
        <v>1</v>
      </c>
      <c r="C1" s="45" t="s">
        <v>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5" ht="21" customHeight="1" thickBot="1" x14ac:dyDescent="0.3">
      <c r="A2" s="39"/>
      <c r="B2" s="41"/>
      <c r="C2" s="5" t="s">
        <v>22</v>
      </c>
      <c r="D2" s="5" t="s">
        <v>23</v>
      </c>
      <c r="E2" s="5" t="s">
        <v>25</v>
      </c>
      <c r="F2" s="5" t="s">
        <v>26</v>
      </c>
      <c r="G2" s="5" t="s">
        <v>24</v>
      </c>
      <c r="H2" s="5" t="s">
        <v>27</v>
      </c>
      <c r="I2" s="5" t="s">
        <v>25</v>
      </c>
      <c r="J2" s="5" t="s">
        <v>30</v>
      </c>
      <c r="K2" s="5" t="s">
        <v>28</v>
      </c>
      <c r="L2" s="5" t="s">
        <v>29</v>
      </c>
      <c r="M2" s="5" t="s">
        <v>25</v>
      </c>
      <c r="N2" s="5" t="s">
        <v>31</v>
      </c>
      <c r="O2" s="5" t="s">
        <v>33</v>
      </c>
    </row>
    <row r="3" spans="1:15" ht="19.5" customHeight="1" thickBot="1" x14ac:dyDescent="0.3">
      <c r="A3" s="42" t="s">
        <v>32</v>
      </c>
      <c r="B3" s="2" t="s">
        <v>4</v>
      </c>
      <c r="C3" s="6">
        <v>20</v>
      </c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</row>
    <row r="4" spans="1:15" ht="15.75" customHeight="1" thickBot="1" x14ac:dyDescent="0.3">
      <c r="A4" s="43"/>
      <c r="B4" s="2" t="s">
        <v>5</v>
      </c>
      <c r="C4" s="3">
        <v>20</v>
      </c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</row>
    <row r="5" spans="1:15" ht="15.75" customHeight="1" thickBot="1" x14ac:dyDescent="0.3">
      <c r="A5" s="43"/>
      <c r="B5" s="2" t="s">
        <v>6</v>
      </c>
      <c r="C5" s="3">
        <v>10</v>
      </c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</row>
    <row r="6" spans="1:15" ht="15.75" customHeight="1" thickBot="1" x14ac:dyDescent="0.3">
      <c r="A6" s="43"/>
      <c r="B6" s="2" t="s">
        <v>4</v>
      </c>
      <c r="C6" s="3">
        <v>20</v>
      </c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</row>
    <row r="7" spans="1:15" ht="15.75" customHeight="1" thickBot="1" x14ac:dyDescent="0.3">
      <c r="A7" s="43"/>
      <c r="B7" s="2" t="s">
        <v>233</v>
      </c>
      <c r="C7" s="3">
        <v>30</v>
      </c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</row>
    <row r="8" spans="1:15" ht="15.75" customHeight="1" thickBot="1" x14ac:dyDescent="0.3">
      <c r="A8" s="43"/>
      <c r="B8" s="2" t="s">
        <v>8</v>
      </c>
      <c r="C8" s="3">
        <v>10</v>
      </c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</row>
    <row r="9" spans="1:15" ht="20.25" customHeight="1" thickBot="1" x14ac:dyDescent="0.3">
      <c r="A9" s="43"/>
      <c r="B9" s="2" t="s">
        <v>9</v>
      </c>
      <c r="C9" s="3">
        <v>10</v>
      </c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</row>
    <row r="10" spans="1:15" ht="15.75" customHeight="1" thickBot="1" x14ac:dyDescent="0.3">
      <c r="A10" s="43"/>
      <c r="B10" s="2" t="s">
        <v>10</v>
      </c>
      <c r="C10" s="3">
        <v>20</v>
      </c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</row>
    <row r="11" spans="1:15" ht="15.75" customHeight="1" thickBot="1" x14ac:dyDescent="0.3">
      <c r="A11" s="43"/>
      <c r="B11" s="2" t="s">
        <v>11</v>
      </c>
      <c r="C11" s="3">
        <v>20</v>
      </c>
      <c r="D11" s="3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</row>
    <row r="12" spans="1:15" ht="15.75" customHeight="1" thickBot="1" x14ac:dyDescent="0.3">
      <c r="A12" s="43"/>
      <c r="B12" s="2" t="s">
        <v>12</v>
      </c>
      <c r="C12" s="3">
        <v>20</v>
      </c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</row>
    <row r="13" spans="1:15" ht="15.75" customHeight="1" thickBot="1" x14ac:dyDescent="0.3">
      <c r="A13" s="43"/>
      <c r="B13" s="2" t="s">
        <v>13</v>
      </c>
      <c r="C13" s="3">
        <v>10</v>
      </c>
      <c r="D13" s="3"/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</row>
    <row r="14" spans="1:15" ht="15.75" customHeight="1" thickBot="1" x14ac:dyDescent="0.3">
      <c r="A14" s="43"/>
      <c r="B14" s="2" t="s">
        <v>14</v>
      </c>
      <c r="C14" s="3">
        <v>10</v>
      </c>
      <c r="D14" s="3"/>
      <c r="E14" s="3"/>
      <c r="F14" s="3"/>
      <c r="G14" s="3"/>
      <c r="H14" s="3"/>
      <c r="I14" s="4"/>
      <c r="J14" s="4"/>
      <c r="K14" s="4"/>
      <c r="L14" s="4"/>
      <c r="M14" s="4"/>
      <c r="N14" s="4"/>
      <c r="O14" s="4"/>
    </row>
    <row r="15" spans="1:15" ht="15.75" customHeight="1" thickBot="1" x14ac:dyDescent="0.3">
      <c r="A15" s="43"/>
      <c r="B15" s="2" t="s">
        <v>15</v>
      </c>
      <c r="C15" s="3">
        <v>10</v>
      </c>
      <c r="D15" s="3"/>
      <c r="E15" s="3"/>
      <c r="F15" s="3"/>
      <c r="G15" s="3"/>
      <c r="H15" s="3"/>
      <c r="I15" s="4"/>
      <c r="J15" s="4"/>
      <c r="K15" s="4"/>
      <c r="L15" s="4"/>
      <c r="M15" s="4"/>
      <c r="N15" s="4"/>
      <c r="O15" s="4"/>
    </row>
    <row r="16" spans="1:15" ht="30.75" thickBot="1" x14ac:dyDescent="0.3">
      <c r="A16" s="43"/>
      <c r="B16" s="2" t="s">
        <v>16</v>
      </c>
      <c r="C16" s="3">
        <v>10</v>
      </c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</row>
    <row r="17" spans="1:15" ht="15.75" customHeight="1" thickBot="1" x14ac:dyDescent="0.3">
      <c r="A17" s="43"/>
      <c r="B17" s="2" t="s">
        <v>17</v>
      </c>
      <c r="C17" s="3">
        <v>10</v>
      </c>
      <c r="D17" s="3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</row>
    <row r="18" spans="1:15" ht="15.75" customHeight="1" thickBot="1" x14ac:dyDescent="0.3">
      <c r="A18" s="43"/>
      <c r="B18" s="2" t="s">
        <v>18</v>
      </c>
      <c r="C18" s="3">
        <v>10</v>
      </c>
      <c r="D18" s="3"/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</row>
    <row r="19" spans="1:15" ht="15.75" customHeight="1" thickBot="1" x14ac:dyDescent="0.3">
      <c r="A19" s="43"/>
      <c r="B19" s="2" t="s">
        <v>19</v>
      </c>
      <c r="C19" s="3">
        <v>10</v>
      </c>
      <c r="D19" s="3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</row>
    <row r="20" spans="1:15" ht="15.75" customHeight="1" thickBot="1" x14ac:dyDescent="0.3">
      <c r="A20" s="43"/>
      <c r="B20" s="2" t="s">
        <v>20</v>
      </c>
      <c r="C20" s="3">
        <v>10</v>
      </c>
      <c r="D20" s="3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</row>
    <row r="21" spans="1:15" ht="15.75" customHeight="1" thickBot="1" x14ac:dyDescent="0.3">
      <c r="A21" s="44"/>
      <c r="B21" s="2" t="s">
        <v>21</v>
      </c>
      <c r="C21" s="3">
        <v>10</v>
      </c>
      <c r="D21" s="3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</row>
  </sheetData>
  <mergeCells count="4">
    <mergeCell ref="A1:A2"/>
    <mergeCell ref="B1:B2"/>
    <mergeCell ref="A3:A21"/>
    <mergeCell ref="C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0A26-BED0-4922-B51E-E3F8F15A3B68}">
  <dimension ref="A1:O21"/>
  <sheetViews>
    <sheetView workbookViewId="0">
      <selection activeCell="C3" sqref="C3:C21"/>
    </sheetView>
  </sheetViews>
  <sheetFormatPr baseColWidth="10" defaultRowHeight="15.75" x14ac:dyDescent="0.25"/>
  <cols>
    <col min="1" max="1" width="14" customWidth="1"/>
    <col min="2" max="2" width="26.28515625" customWidth="1"/>
    <col min="3" max="15" width="3.7109375" style="10" customWidth="1"/>
  </cols>
  <sheetData>
    <row r="1" spans="1:15" ht="18" customHeight="1" thickBot="1" x14ac:dyDescent="0.3">
      <c r="A1" s="38" t="s">
        <v>0</v>
      </c>
      <c r="B1" s="40" t="s">
        <v>34</v>
      </c>
      <c r="C1" s="48" t="s">
        <v>2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ht="18.75" customHeight="1" thickBot="1" x14ac:dyDescent="0.3">
      <c r="A2" s="39"/>
      <c r="B2" s="41"/>
      <c r="C2" s="9" t="str">
        <f>'1 PRIM A'!C2</f>
        <v>P1</v>
      </c>
      <c r="D2" s="9" t="str">
        <f>'1 PRIM A'!D2</f>
        <v>P2</v>
      </c>
      <c r="E2" s="9" t="str">
        <f>'1 PRIM A'!E2</f>
        <v>EX</v>
      </c>
      <c r="F2" s="9" t="str">
        <f>'1 PRIM A'!F2</f>
        <v>S1</v>
      </c>
      <c r="G2" s="9" t="str">
        <f>'1 PRIM A'!G2</f>
        <v>P3</v>
      </c>
      <c r="H2" s="9" t="str">
        <f>'1 PRIM A'!H2</f>
        <v>P4</v>
      </c>
      <c r="I2" s="9" t="str">
        <f>'1 PRIM A'!I2</f>
        <v>EX</v>
      </c>
      <c r="J2" s="9" t="str">
        <f>'1 PRIM A'!J2</f>
        <v>S2</v>
      </c>
      <c r="K2" s="9" t="str">
        <f>'1 PRIM A'!K2</f>
        <v>P5</v>
      </c>
      <c r="L2" s="9" t="str">
        <f>'1 PRIM A'!L2</f>
        <v>P6</v>
      </c>
      <c r="M2" s="9" t="str">
        <f>'1 PRIM A'!M2</f>
        <v>EX</v>
      </c>
      <c r="N2" s="9" t="str">
        <f>'1 PRIM A'!N2</f>
        <v>S3</v>
      </c>
      <c r="O2" s="9" t="str">
        <f>'1 PRIM A'!O2</f>
        <v>TG</v>
      </c>
    </row>
    <row r="3" spans="1:15" ht="15" customHeight="1" thickBot="1" x14ac:dyDescent="0.3">
      <c r="A3" s="42" t="s">
        <v>35</v>
      </c>
      <c r="B3" s="3" t="s">
        <v>4</v>
      </c>
      <c r="C3" s="9">
        <f>'1 PRIM A'!C3</f>
        <v>20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customHeight="1" thickBot="1" x14ac:dyDescent="0.3">
      <c r="A4" s="43"/>
      <c r="B4" s="3" t="s">
        <v>5</v>
      </c>
      <c r="C4" s="9">
        <f>'1 PRIM A'!C4</f>
        <v>20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5" customHeight="1" thickBot="1" x14ac:dyDescent="0.3">
      <c r="A5" s="43"/>
      <c r="B5" s="3" t="s">
        <v>6</v>
      </c>
      <c r="C5" s="9">
        <f>'1 PRIM A'!C5</f>
        <v>10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customHeight="1" thickBot="1" x14ac:dyDescent="0.3">
      <c r="A6" s="43"/>
      <c r="B6" s="3" t="s">
        <v>4</v>
      </c>
      <c r="C6" s="9">
        <f>'1 PRIM A'!C6</f>
        <v>20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15" customHeight="1" thickBot="1" x14ac:dyDescent="0.3">
      <c r="A7" s="43"/>
      <c r="B7" s="3" t="s">
        <v>7</v>
      </c>
      <c r="C7" s="9">
        <f>'1 PRIM A'!C7</f>
        <v>30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15" customHeight="1" thickBot="1" x14ac:dyDescent="0.3">
      <c r="A8" s="43"/>
      <c r="B8" s="3" t="s">
        <v>8</v>
      </c>
      <c r="C8" s="9">
        <f>'1 PRIM A'!C8</f>
        <v>10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5" customHeight="1" thickBot="1" x14ac:dyDescent="0.3">
      <c r="A9" s="43"/>
      <c r="B9" s="3" t="s">
        <v>9</v>
      </c>
      <c r="C9" s="9">
        <f>'1 PRIM A'!C9</f>
        <v>10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" customHeight="1" thickBot="1" x14ac:dyDescent="0.3">
      <c r="A10" s="43"/>
      <c r="B10" s="3" t="s">
        <v>10</v>
      </c>
      <c r="C10" s="9">
        <f>'1 PRIM A'!C10</f>
        <v>20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" customHeight="1" thickBot="1" x14ac:dyDescent="0.3">
      <c r="A11" s="43"/>
      <c r="B11" s="3" t="s">
        <v>11</v>
      </c>
      <c r="C11" s="9">
        <f>'1 PRIM A'!C11</f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5" customHeight="1" thickBot="1" x14ac:dyDescent="0.3">
      <c r="A12" s="43"/>
      <c r="B12" s="3" t="s">
        <v>12</v>
      </c>
      <c r="C12" s="9">
        <f>'1 PRIM A'!C12</f>
        <v>20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15" customHeight="1" thickBot="1" x14ac:dyDescent="0.3">
      <c r="A13" s="43"/>
      <c r="B13" s="3" t="s">
        <v>13</v>
      </c>
      <c r="C13" s="9">
        <f>'1 PRIM A'!C13</f>
        <v>10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5" customHeight="1" thickBot="1" x14ac:dyDescent="0.3">
      <c r="A14" s="43"/>
      <c r="B14" s="3" t="s">
        <v>14</v>
      </c>
      <c r="C14" s="9">
        <f>'1 PRIM A'!C14</f>
        <v>10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5" customHeight="1" thickBot="1" x14ac:dyDescent="0.3">
      <c r="A15" s="43"/>
      <c r="B15" s="3" t="s">
        <v>15</v>
      </c>
      <c r="C15" s="9">
        <f>'1 PRIM A'!C15</f>
        <v>10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5" customHeight="1" thickBot="1" x14ac:dyDescent="0.3">
      <c r="A16" s="43"/>
      <c r="B16" s="3" t="s">
        <v>16</v>
      </c>
      <c r="C16" s="9">
        <f>'1 PRIM A'!C16</f>
        <v>10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15" customHeight="1" thickBot="1" x14ac:dyDescent="0.3">
      <c r="A17" s="43"/>
      <c r="B17" s="3" t="s">
        <v>17</v>
      </c>
      <c r="C17" s="9">
        <f>'1 PRIM A'!C17</f>
        <v>10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5" customHeight="1" thickBot="1" x14ac:dyDescent="0.3">
      <c r="A18" s="43"/>
      <c r="B18" s="3" t="s">
        <v>18</v>
      </c>
      <c r="C18" s="9">
        <f>'1 PRIM A'!C18</f>
        <v>10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5" customHeight="1" thickBot="1" x14ac:dyDescent="0.3">
      <c r="A19" s="43"/>
      <c r="B19" s="3" t="s">
        <v>19</v>
      </c>
      <c r="C19" s="9">
        <f>'1 PRIM A'!C19</f>
        <v>10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" customHeight="1" thickBot="1" x14ac:dyDescent="0.3">
      <c r="A20" s="43"/>
      <c r="B20" s="3" t="s">
        <v>20</v>
      </c>
      <c r="C20" s="9">
        <f>'1 PRIM A'!C20</f>
        <v>10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5" customHeight="1" thickBot="1" x14ac:dyDescent="0.3">
      <c r="A21" s="44"/>
      <c r="B21" s="3" t="s">
        <v>21</v>
      </c>
      <c r="C21" s="9">
        <f>'1 PRIM A'!C21</f>
        <v>10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</sheetData>
  <mergeCells count="4">
    <mergeCell ref="A3:A21"/>
    <mergeCell ref="A1:A2"/>
    <mergeCell ref="B1:B2"/>
    <mergeCell ref="C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8D61-92C7-4F90-93CF-2FAE6AA34430}">
  <dimension ref="A1:O22"/>
  <sheetViews>
    <sheetView topLeftCell="A4" workbookViewId="0">
      <selection activeCell="C3" sqref="C3:C21"/>
    </sheetView>
  </sheetViews>
  <sheetFormatPr baseColWidth="10" defaultRowHeight="15" x14ac:dyDescent="0.25"/>
  <cols>
    <col min="1" max="1" width="12.42578125" customWidth="1"/>
    <col min="2" max="2" width="26" customWidth="1"/>
    <col min="3" max="15" width="3.7109375" customWidth="1"/>
  </cols>
  <sheetData>
    <row r="1" spans="1:15" ht="20.25" customHeight="1" thickBot="1" x14ac:dyDescent="0.3">
      <c r="A1" s="51" t="s">
        <v>0</v>
      </c>
      <c r="B1" s="40" t="s">
        <v>36</v>
      </c>
      <c r="C1" s="56" t="s">
        <v>2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15.75" thickBot="1" x14ac:dyDescent="0.3">
      <c r="A2" s="52"/>
      <c r="B2" s="41"/>
      <c r="C2" s="4" t="str">
        <f>'1 PRIM B'!C2</f>
        <v>P1</v>
      </c>
      <c r="D2" s="4" t="str">
        <f>'1 PRIM B'!D2</f>
        <v>P2</v>
      </c>
      <c r="E2" s="4" t="str">
        <f>'1 PRIM B'!E2</f>
        <v>EX</v>
      </c>
      <c r="F2" s="4" t="str">
        <f>'1 PRIM B'!F2</f>
        <v>S1</v>
      </c>
      <c r="G2" s="4" t="str">
        <f>'1 PRIM B'!G2</f>
        <v>P3</v>
      </c>
      <c r="H2" s="4" t="str">
        <f>'1 PRIM B'!H2</f>
        <v>P4</v>
      </c>
      <c r="I2" s="4" t="str">
        <f>'1 PRIM B'!I2</f>
        <v>EX</v>
      </c>
      <c r="J2" s="4" t="str">
        <f>'1 PRIM B'!J2</f>
        <v>S2</v>
      </c>
      <c r="K2" s="4" t="str">
        <f>'1 PRIM B'!K2</f>
        <v>P5</v>
      </c>
      <c r="L2" s="4" t="str">
        <f>'1 PRIM B'!L2</f>
        <v>P6</v>
      </c>
      <c r="M2" s="4" t="str">
        <f>'1 PRIM B'!M2</f>
        <v>EX</v>
      </c>
      <c r="N2" s="4" t="str">
        <f>'1 PRIM B'!N2</f>
        <v>S3</v>
      </c>
      <c r="O2" s="4" t="str">
        <f>'1 PRIM B'!O2</f>
        <v>TG</v>
      </c>
    </row>
    <row r="3" spans="1:15" ht="15" customHeight="1" thickBot="1" x14ac:dyDescent="0.3">
      <c r="A3" s="53" t="s">
        <v>3</v>
      </c>
      <c r="B3" s="3" t="s">
        <v>4</v>
      </c>
      <c r="C3" s="4">
        <f>'1 PRIM B'!C3</f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thickBot="1" x14ac:dyDescent="0.3">
      <c r="A4" s="54"/>
      <c r="B4" s="3" t="s">
        <v>5</v>
      </c>
      <c r="C4" s="4">
        <f>'1 PRIM B'!C4</f>
        <v>20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 x14ac:dyDescent="0.3">
      <c r="A5" s="54"/>
      <c r="B5" s="3" t="s">
        <v>6</v>
      </c>
      <c r="C5" s="4">
        <f>'1 PRIM B'!C5</f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customHeight="1" thickBot="1" x14ac:dyDescent="0.3">
      <c r="A6" s="54"/>
      <c r="B6" s="3" t="s">
        <v>4</v>
      </c>
      <c r="C6" s="4">
        <f>'1 PRIM B'!C6</f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" customHeight="1" thickBot="1" x14ac:dyDescent="0.3">
      <c r="A7" s="54"/>
      <c r="B7" s="3" t="s">
        <v>7</v>
      </c>
      <c r="C7" s="4">
        <f>'1 PRIM B'!C7</f>
        <v>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" customHeight="1" thickBot="1" x14ac:dyDescent="0.3">
      <c r="A8" s="54"/>
      <c r="B8" s="3" t="s">
        <v>8</v>
      </c>
      <c r="C8" s="4">
        <f>'1 PRIM B'!C8</f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" customHeight="1" thickBot="1" x14ac:dyDescent="0.3">
      <c r="A9" s="54"/>
      <c r="B9" s="3" t="s">
        <v>9</v>
      </c>
      <c r="C9" s="4">
        <f>'1 PRIM B'!C9</f>
        <v>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thickBot="1" x14ac:dyDescent="0.3">
      <c r="A10" s="54"/>
      <c r="B10" s="3" t="s">
        <v>10</v>
      </c>
      <c r="C10" s="4">
        <f>'1 PRIM B'!C10</f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" customHeight="1" thickBot="1" x14ac:dyDescent="0.3">
      <c r="A11" s="54"/>
      <c r="B11" s="3" t="s">
        <v>11</v>
      </c>
      <c r="C11" s="4">
        <f>'1 PRIM B'!C11</f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" customHeight="1" thickBot="1" x14ac:dyDescent="0.3">
      <c r="A12" s="54"/>
      <c r="B12" s="3" t="s">
        <v>12</v>
      </c>
      <c r="C12" s="4">
        <f>'1 PRIM B'!C12</f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" customHeight="1" thickBot="1" x14ac:dyDescent="0.3">
      <c r="A13" s="54"/>
      <c r="B13" s="3" t="s">
        <v>13</v>
      </c>
      <c r="C13" s="4">
        <f>'1 PRIM B'!C13</f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" customHeight="1" thickBot="1" x14ac:dyDescent="0.3">
      <c r="A14" s="54"/>
      <c r="B14" s="3" t="s">
        <v>14</v>
      </c>
      <c r="C14" s="4">
        <f>'1 PRIM B'!C14</f>
        <v>10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" customHeight="1" thickBot="1" x14ac:dyDescent="0.3">
      <c r="A15" s="54"/>
      <c r="B15" s="3" t="s">
        <v>15</v>
      </c>
      <c r="C15" s="4">
        <f>'1 PRIM B'!C15</f>
        <v>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" customHeight="1" thickBot="1" x14ac:dyDescent="0.3">
      <c r="A16" s="54"/>
      <c r="B16" s="3" t="s">
        <v>16</v>
      </c>
      <c r="C16" s="4">
        <f>'1 PRIM B'!C16</f>
        <v>10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" customHeight="1" thickBot="1" x14ac:dyDescent="0.3">
      <c r="A17" s="54"/>
      <c r="B17" s="3" t="s">
        <v>17</v>
      </c>
      <c r="C17" s="4">
        <f>'1 PRIM B'!C17</f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" customHeight="1" thickBot="1" x14ac:dyDescent="0.3">
      <c r="A18" s="54"/>
      <c r="B18" s="3" t="s">
        <v>18</v>
      </c>
      <c r="C18" s="4">
        <f>'1 PRIM B'!C18</f>
        <v>10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" customHeight="1" thickBot="1" x14ac:dyDescent="0.3">
      <c r="A19" s="54"/>
      <c r="B19" s="3" t="s">
        <v>19</v>
      </c>
      <c r="C19" s="4">
        <f>'1 PRIM B'!C19</f>
        <v>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thickBot="1" x14ac:dyDescent="0.3">
      <c r="A20" s="54"/>
      <c r="B20" s="3" t="s">
        <v>20</v>
      </c>
      <c r="C20" s="4">
        <f>'1 PRIM B'!C20</f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thickBot="1" x14ac:dyDescent="0.3">
      <c r="A21" s="55"/>
      <c r="B21" s="3" t="s">
        <v>21</v>
      </c>
      <c r="C21" s="4">
        <f>'1 PRIM B'!C21</f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.75" x14ac:dyDescent="0.25">
      <c r="A22" s="11"/>
    </row>
  </sheetData>
  <mergeCells count="4">
    <mergeCell ref="A1:A2"/>
    <mergeCell ref="B1:B2"/>
    <mergeCell ref="A3:A21"/>
    <mergeCell ref="C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7749-AFF4-45B2-A181-B789573FE82B}">
  <dimension ref="A1:O26"/>
  <sheetViews>
    <sheetView workbookViewId="0">
      <selection activeCell="C28" sqref="C28"/>
    </sheetView>
  </sheetViews>
  <sheetFormatPr baseColWidth="10" defaultRowHeight="15" x14ac:dyDescent="0.25"/>
  <cols>
    <col min="1" max="1" width="14.5703125" customWidth="1"/>
    <col min="2" max="2" width="19.5703125" customWidth="1"/>
    <col min="3" max="15" width="3.7109375" customWidth="1"/>
  </cols>
  <sheetData>
    <row r="1" spans="1:15" ht="15" customHeight="1" thickBot="1" x14ac:dyDescent="0.3">
      <c r="A1" s="38" t="s">
        <v>0</v>
      </c>
      <c r="B1" s="40" t="s">
        <v>49</v>
      </c>
      <c r="C1" s="59" t="s">
        <v>2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</row>
    <row r="2" spans="1:15" ht="15" customHeight="1" thickBot="1" x14ac:dyDescent="0.3">
      <c r="A2" s="39"/>
      <c r="B2" s="41"/>
      <c r="C2" s="4" t="str">
        <f>'2 PRIM'!C2</f>
        <v>P1</v>
      </c>
      <c r="D2" s="4" t="str">
        <f>'2 PRIM'!D2</f>
        <v>P2</v>
      </c>
      <c r="E2" s="4" t="str">
        <f>'2 PRIM'!E2</f>
        <v>EX</v>
      </c>
      <c r="F2" s="4" t="str">
        <f>'2 PRIM'!F2</f>
        <v>S1</v>
      </c>
      <c r="G2" s="4" t="str">
        <f>'2 PRIM'!G2</f>
        <v>P3</v>
      </c>
      <c r="H2" s="4" t="str">
        <f>'2 PRIM'!H2</f>
        <v>P4</v>
      </c>
      <c r="I2" s="4" t="str">
        <f>'2 PRIM'!I2</f>
        <v>EX</v>
      </c>
      <c r="J2" s="4" t="str">
        <f>'2 PRIM'!J2</f>
        <v>S2</v>
      </c>
      <c r="K2" s="4" t="str">
        <f>'2 PRIM'!K2</f>
        <v>P5</v>
      </c>
      <c r="L2" s="4" t="str">
        <f>'2 PRIM'!L2</f>
        <v>P6</v>
      </c>
      <c r="M2" s="4" t="str">
        <f>'2 PRIM'!M2</f>
        <v>EX</v>
      </c>
      <c r="N2" s="4" t="str">
        <f>'2 PRIM'!N2</f>
        <v>S3</v>
      </c>
      <c r="O2" s="4" t="str">
        <f>'2 PRIM'!O2</f>
        <v>TG</v>
      </c>
    </row>
    <row r="3" spans="1:15" ht="15" customHeight="1" thickBot="1" x14ac:dyDescent="0.3">
      <c r="A3" s="42" t="s">
        <v>50</v>
      </c>
      <c r="B3" s="3" t="s">
        <v>37</v>
      </c>
      <c r="C3" s="4"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thickBot="1" x14ac:dyDescent="0.3">
      <c r="A4" s="43"/>
      <c r="B4" s="3" t="s">
        <v>38</v>
      </c>
      <c r="C4" s="4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 x14ac:dyDescent="0.3">
      <c r="A5" s="43"/>
      <c r="B5" s="3" t="s">
        <v>39</v>
      </c>
      <c r="C5" s="4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customHeight="1" thickBot="1" x14ac:dyDescent="0.3">
      <c r="A6" s="43"/>
      <c r="B6" s="3" t="s">
        <v>40</v>
      </c>
      <c r="C6" s="4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" customHeight="1" thickBot="1" x14ac:dyDescent="0.3">
      <c r="A7" s="43"/>
      <c r="B7" s="3" t="s">
        <v>41</v>
      </c>
      <c r="C7" s="4"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" customHeight="1" thickBot="1" x14ac:dyDescent="0.3">
      <c r="A8" s="43"/>
      <c r="B8" s="3" t="s">
        <v>42</v>
      </c>
      <c r="C8" s="4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" customHeight="1" thickBot="1" x14ac:dyDescent="0.3">
      <c r="A9" s="43"/>
      <c r="B9" s="3" t="s">
        <v>234</v>
      </c>
      <c r="C9" s="4">
        <v>30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thickBot="1" x14ac:dyDescent="0.3">
      <c r="A10" s="43"/>
      <c r="B10" s="3" t="s">
        <v>235</v>
      </c>
      <c r="C10" s="4">
        <v>30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" customHeight="1" thickBot="1" x14ac:dyDescent="0.3">
      <c r="A11" s="43"/>
      <c r="B11" s="3" t="s">
        <v>43</v>
      </c>
      <c r="C11" s="4">
        <v>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" customHeight="1" thickBot="1" x14ac:dyDescent="0.3">
      <c r="A12" s="43"/>
      <c r="B12" s="3" t="s">
        <v>44</v>
      </c>
      <c r="C12" s="4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" customHeight="1" thickBot="1" x14ac:dyDescent="0.3">
      <c r="A13" s="43"/>
      <c r="B13" s="3" t="s">
        <v>10</v>
      </c>
      <c r="C13" s="4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" customHeight="1" thickBot="1" x14ac:dyDescent="0.3">
      <c r="A14" s="43"/>
      <c r="B14" s="3" t="s">
        <v>11</v>
      </c>
      <c r="C14" s="4">
        <v>10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" customHeight="1" thickBot="1" x14ac:dyDescent="0.3">
      <c r="A15" s="43"/>
      <c r="B15" s="3" t="s">
        <v>12</v>
      </c>
      <c r="C15" s="4"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" customHeight="1" thickBot="1" x14ac:dyDescent="0.3">
      <c r="A16" s="43"/>
      <c r="B16" s="3" t="s">
        <v>45</v>
      </c>
      <c r="C16" s="4">
        <v>10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" customHeight="1" thickBot="1" x14ac:dyDescent="0.3">
      <c r="A17" s="43"/>
      <c r="B17" s="3" t="s">
        <v>46</v>
      </c>
      <c r="C17" s="4">
        <v>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" customHeight="1" thickBot="1" x14ac:dyDescent="0.3">
      <c r="A18" s="43"/>
      <c r="B18" s="3" t="s">
        <v>15</v>
      </c>
      <c r="C18" s="4">
        <v>10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" customHeight="1" thickBot="1" x14ac:dyDescent="0.3">
      <c r="A19" s="43"/>
      <c r="B19" s="3" t="s">
        <v>16</v>
      </c>
      <c r="C19" s="4">
        <v>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thickBot="1" x14ac:dyDescent="0.3">
      <c r="A20" s="43"/>
      <c r="B20" s="3" t="s">
        <v>17</v>
      </c>
      <c r="C20" s="4"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thickBot="1" x14ac:dyDescent="0.3">
      <c r="A21" s="43"/>
      <c r="B21" s="3" t="s">
        <v>18</v>
      </c>
      <c r="C21" s="4"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" customHeight="1" thickBot="1" x14ac:dyDescent="0.3">
      <c r="A22" s="43"/>
      <c r="B22" s="3" t="s">
        <v>19</v>
      </c>
      <c r="C22" s="4">
        <v>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" customHeight="1" thickBot="1" x14ac:dyDescent="0.3">
      <c r="A23" s="43"/>
      <c r="B23" s="3" t="s">
        <v>20</v>
      </c>
      <c r="C23" s="4">
        <v>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" customHeight="1" thickBot="1" x14ac:dyDescent="0.3">
      <c r="A24" s="43"/>
      <c r="B24" s="3" t="s">
        <v>21</v>
      </c>
      <c r="C24" s="4">
        <v>10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" customHeight="1" thickBot="1" x14ac:dyDescent="0.3">
      <c r="A25" s="43"/>
      <c r="B25" s="3" t="s">
        <v>47</v>
      </c>
      <c r="C25" s="4">
        <v>10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" customHeight="1" thickBot="1" x14ac:dyDescent="0.3">
      <c r="A26" s="44"/>
      <c r="B26" s="3" t="s">
        <v>48</v>
      </c>
      <c r="C26" s="4">
        <v>10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</sheetData>
  <mergeCells count="4">
    <mergeCell ref="A1:A2"/>
    <mergeCell ref="B1:B2"/>
    <mergeCell ref="C1:O1"/>
    <mergeCell ref="A3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BE92-EFC4-4350-843E-80EB7A1998D1}">
  <dimension ref="A1:O24"/>
  <sheetViews>
    <sheetView topLeftCell="A12" workbookViewId="0">
      <selection activeCell="C3" sqref="C3:C24"/>
    </sheetView>
  </sheetViews>
  <sheetFormatPr baseColWidth="10" defaultRowHeight="15" x14ac:dyDescent="0.25"/>
  <cols>
    <col min="2" max="2" width="20.85546875" customWidth="1"/>
    <col min="3" max="15" width="3.7109375" customWidth="1"/>
  </cols>
  <sheetData>
    <row r="1" spans="1:15" ht="15" customHeight="1" thickBot="1" x14ac:dyDescent="0.3">
      <c r="A1" s="38" t="s">
        <v>0</v>
      </c>
      <c r="B1" s="40" t="s">
        <v>52</v>
      </c>
      <c r="C1" s="56" t="s">
        <v>2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15" customHeight="1" thickBot="1" x14ac:dyDescent="0.3">
      <c r="A2" s="39"/>
      <c r="B2" s="41"/>
      <c r="C2" s="4" t="str">
        <f>+'3 PRIM'!C2</f>
        <v>P1</v>
      </c>
      <c r="D2" s="4" t="str">
        <f>+'3 PRIM'!D2</f>
        <v>P2</v>
      </c>
      <c r="E2" s="4" t="str">
        <f>+'3 PRIM'!E2</f>
        <v>EX</v>
      </c>
      <c r="F2" s="4" t="str">
        <f>+'3 PRIM'!F2</f>
        <v>S1</v>
      </c>
      <c r="G2" s="4" t="str">
        <f>+'3 PRIM'!G2</f>
        <v>P3</v>
      </c>
      <c r="H2" s="4" t="str">
        <f>+'3 PRIM'!H2</f>
        <v>P4</v>
      </c>
      <c r="I2" s="4" t="str">
        <f>+'3 PRIM'!I2</f>
        <v>EX</v>
      </c>
      <c r="J2" s="4" t="str">
        <f>+'3 PRIM'!J2</f>
        <v>S2</v>
      </c>
      <c r="K2" s="4" t="str">
        <f>+'3 PRIM'!K2</f>
        <v>P5</v>
      </c>
      <c r="L2" s="4" t="str">
        <f>+'3 PRIM'!L2</f>
        <v>P6</v>
      </c>
      <c r="M2" s="4" t="str">
        <f>+'3 PRIM'!M2</f>
        <v>EX</v>
      </c>
      <c r="N2" s="4" t="str">
        <f>+'3 PRIM'!N2</f>
        <v>S3</v>
      </c>
      <c r="O2" s="4" t="str">
        <f>+'3 PRIM'!O2</f>
        <v>TG</v>
      </c>
    </row>
    <row r="3" spans="1:15" ht="15" customHeight="1" thickBot="1" x14ac:dyDescent="0.3">
      <c r="A3" s="42" t="s">
        <v>51</v>
      </c>
      <c r="B3" s="3" t="s">
        <v>37</v>
      </c>
      <c r="C3" s="4">
        <f>+'3 PRIM'!C3</f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thickBot="1" x14ac:dyDescent="0.3">
      <c r="A4" s="43"/>
      <c r="B4" s="3" t="s">
        <v>38</v>
      </c>
      <c r="C4" s="4">
        <f>+'3 PRIM'!C4</f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 x14ac:dyDescent="0.3">
      <c r="A5" s="43"/>
      <c r="B5" s="3" t="s">
        <v>39</v>
      </c>
      <c r="C5" s="4">
        <f>+'3 PRIM'!C5</f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customHeight="1" thickBot="1" x14ac:dyDescent="0.3">
      <c r="A6" s="43"/>
      <c r="B6" s="3" t="s">
        <v>40</v>
      </c>
      <c r="C6" s="4">
        <f>+'3 PRIM'!C6</f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" customHeight="1" thickBot="1" x14ac:dyDescent="0.3">
      <c r="A7" s="43"/>
      <c r="B7" s="3" t="s">
        <v>41</v>
      </c>
      <c r="C7" s="4">
        <f>+'3 PRIM'!C7</f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" customHeight="1" thickBot="1" x14ac:dyDescent="0.3">
      <c r="A8" s="43"/>
      <c r="B8" s="3" t="s">
        <v>42</v>
      </c>
      <c r="C8" s="4">
        <f>+'3 PRIM'!C8</f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" customHeight="1" thickBot="1" x14ac:dyDescent="0.3">
      <c r="A9" s="43"/>
      <c r="B9" s="3" t="s">
        <v>43</v>
      </c>
      <c r="C9" s="4">
        <f>+'3 PRIM'!C9</f>
        <v>30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thickBot="1" x14ac:dyDescent="0.3">
      <c r="A10" s="43"/>
      <c r="B10" s="3" t="s">
        <v>44</v>
      </c>
      <c r="C10" s="4">
        <f>+'3 PRIM'!C10</f>
        <v>30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" customHeight="1" thickBot="1" x14ac:dyDescent="0.3">
      <c r="A11" s="43"/>
      <c r="B11" s="3" t="s">
        <v>10</v>
      </c>
      <c r="C11" s="4">
        <f>+'3 PRIM'!C11</f>
        <v>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" customHeight="1" thickBot="1" x14ac:dyDescent="0.3">
      <c r="A12" s="43"/>
      <c r="B12" s="3" t="s">
        <v>11</v>
      </c>
      <c r="C12" s="4">
        <f>+'3 PRIM'!C12</f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" customHeight="1" thickBot="1" x14ac:dyDescent="0.3">
      <c r="A13" s="43"/>
      <c r="B13" s="3" t="s">
        <v>12</v>
      </c>
      <c r="C13" s="4">
        <f>+'3 PRIM'!C13</f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" customHeight="1" thickBot="1" x14ac:dyDescent="0.3">
      <c r="A14" s="43"/>
      <c r="B14" s="3" t="s">
        <v>45</v>
      </c>
      <c r="C14" s="4">
        <f>+'3 PRIM'!C14</f>
        <v>10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" customHeight="1" thickBot="1" x14ac:dyDescent="0.3">
      <c r="A15" s="43"/>
      <c r="B15" s="3" t="s">
        <v>46</v>
      </c>
      <c r="C15" s="4">
        <f>+'3 PRIM'!C15</f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" customHeight="1" thickBot="1" x14ac:dyDescent="0.3">
      <c r="A16" s="43"/>
      <c r="B16" s="3" t="s">
        <v>15</v>
      </c>
      <c r="C16" s="4">
        <f>+'3 PRIM'!C16</f>
        <v>10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" customHeight="1" thickBot="1" x14ac:dyDescent="0.3">
      <c r="A17" s="43"/>
      <c r="B17" s="3" t="s">
        <v>16</v>
      </c>
      <c r="C17" s="4">
        <f>+'3 PRIM'!C17</f>
        <v>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" customHeight="1" thickBot="1" x14ac:dyDescent="0.3">
      <c r="A18" s="43"/>
      <c r="B18" s="3" t="s">
        <v>17</v>
      </c>
      <c r="C18" s="4">
        <f>+'3 PRIM'!C18</f>
        <v>10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" customHeight="1" thickBot="1" x14ac:dyDescent="0.3">
      <c r="A19" s="43"/>
      <c r="B19" s="3" t="s">
        <v>18</v>
      </c>
      <c r="C19" s="4">
        <f>+'3 PRIM'!C19</f>
        <v>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thickBot="1" x14ac:dyDescent="0.3">
      <c r="A20" s="43"/>
      <c r="B20" s="3" t="s">
        <v>19</v>
      </c>
      <c r="C20" s="4">
        <f>+'3 PRIM'!C20</f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thickBot="1" x14ac:dyDescent="0.3">
      <c r="A21" s="43"/>
      <c r="B21" s="3" t="s">
        <v>20</v>
      </c>
      <c r="C21" s="4">
        <f>+'3 PRIM'!C21</f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" customHeight="1" thickBot="1" x14ac:dyDescent="0.3">
      <c r="A22" s="43"/>
      <c r="B22" s="3" t="s">
        <v>21</v>
      </c>
      <c r="C22" s="4">
        <f>+'3 PRIM'!C22</f>
        <v>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" customHeight="1" thickBot="1" x14ac:dyDescent="0.3">
      <c r="A23" s="43"/>
      <c r="B23" s="3" t="s">
        <v>47</v>
      </c>
      <c r="C23" s="4">
        <f>+'3 PRIM'!C23</f>
        <v>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" customHeight="1" thickBot="1" x14ac:dyDescent="0.3">
      <c r="A24" s="44"/>
      <c r="B24" s="3" t="s">
        <v>48</v>
      </c>
      <c r="C24" s="4">
        <f>+'3 PRIM'!C24</f>
        <v>10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</sheetData>
  <mergeCells count="4">
    <mergeCell ref="B1:B2"/>
    <mergeCell ref="A1:A2"/>
    <mergeCell ref="A3:A24"/>
    <mergeCell ref="C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934F-CE85-4DA0-9F31-A7BB803ECD8D}">
  <dimension ref="A1:S28"/>
  <sheetViews>
    <sheetView workbookViewId="0">
      <selection activeCell="G24" sqref="G24"/>
    </sheetView>
  </sheetViews>
  <sheetFormatPr baseColWidth="10" defaultRowHeight="15" x14ac:dyDescent="0.25"/>
  <cols>
    <col min="1" max="1" width="13.42578125" customWidth="1"/>
    <col min="2" max="2" width="16.28515625" customWidth="1"/>
    <col min="3" max="15" width="3.7109375" customWidth="1"/>
  </cols>
  <sheetData>
    <row r="1" spans="1:19" ht="15" customHeight="1" thickBot="1" x14ac:dyDescent="0.3">
      <c r="A1" s="62" t="s">
        <v>0</v>
      </c>
      <c r="B1" s="64" t="s">
        <v>60</v>
      </c>
      <c r="C1" s="56" t="s">
        <v>2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9" ht="15" customHeight="1" thickBot="1" x14ac:dyDescent="0.3">
      <c r="A2" s="63"/>
      <c r="B2" s="65"/>
      <c r="C2" s="4" t="str">
        <f>+'4 PRIM'!C2</f>
        <v>P1</v>
      </c>
      <c r="D2" s="4" t="str">
        <f>+'4 PRIM'!D2</f>
        <v>P2</v>
      </c>
      <c r="E2" s="4" t="str">
        <f>+'4 PRIM'!E2</f>
        <v>EX</v>
      </c>
      <c r="F2" s="4" t="str">
        <f>+'4 PRIM'!F2</f>
        <v>S1</v>
      </c>
      <c r="G2" s="4" t="str">
        <f>+'4 PRIM'!G2</f>
        <v>P3</v>
      </c>
      <c r="H2" s="4" t="str">
        <f>+'4 PRIM'!H2</f>
        <v>P4</v>
      </c>
      <c r="I2" s="4" t="str">
        <f>+'4 PRIM'!I2</f>
        <v>EX</v>
      </c>
      <c r="J2" s="4" t="str">
        <f>+'4 PRIM'!J2</f>
        <v>S2</v>
      </c>
      <c r="K2" s="4" t="str">
        <f>+'4 PRIM'!K2</f>
        <v>P5</v>
      </c>
      <c r="L2" s="4" t="str">
        <f>+'4 PRIM'!L2</f>
        <v>P6</v>
      </c>
      <c r="M2" s="4" t="str">
        <f>+'4 PRIM'!M2</f>
        <v>EX</v>
      </c>
      <c r="N2" s="4" t="str">
        <f>+'4 PRIM'!N2</f>
        <v>S3</v>
      </c>
      <c r="O2" s="4" t="str">
        <f>+'4 PRIM'!O2</f>
        <v>TG</v>
      </c>
    </row>
    <row r="3" spans="1:19" ht="15" customHeight="1" thickBot="1" x14ac:dyDescent="0.3">
      <c r="A3" s="42" t="s">
        <v>53</v>
      </c>
      <c r="B3" s="3" t="s">
        <v>54</v>
      </c>
      <c r="C3" s="4"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9" ht="15" customHeight="1" thickBot="1" x14ac:dyDescent="0.3">
      <c r="A4" s="43"/>
      <c r="B4" s="3" t="s">
        <v>38</v>
      </c>
      <c r="C4" s="4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9" ht="15" customHeight="1" thickBot="1" x14ac:dyDescent="0.3">
      <c r="A5" s="43"/>
      <c r="B5" s="3" t="s">
        <v>39</v>
      </c>
      <c r="C5" s="4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9" ht="15" customHeight="1" thickBot="1" x14ac:dyDescent="0.3">
      <c r="A6" s="43"/>
      <c r="B6" s="3" t="s">
        <v>54</v>
      </c>
      <c r="C6" s="4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ht="15" customHeight="1" thickBot="1" x14ac:dyDescent="0.3">
      <c r="A7" s="43"/>
      <c r="B7" s="3" t="s">
        <v>55</v>
      </c>
      <c r="C7" s="4"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9" ht="15" customHeight="1" thickBot="1" x14ac:dyDescent="0.3">
      <c r="A8" s="43"/>
      <c r="B8" s="3" t="s">
        <v>42</v>
      </c>
      <c r="C8" s="4"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9" ht="15" customHeight="1" thickBot="1" x14ac:dyDescent="0.3">
      <c r="A9" s="43"/>
      <c r="B9" s="3" t="s">
        <v>56</v>
      </c>
      <c r="C9" s="4">
        <v>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ht="15" customHeight="1" thickBot="1" x14ac:dyDescent="0.3">
      <c r="A10" s="43"/>
      <c r="B10" s="3" t="s">
        <v>236</v>
      </c>
      <c r="C10" s="4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ht="15" customHeight="1" thickBot="1" x14ac:dyDescent="0.3">
      <c r="A11" s="43"/>
      <c r="B11" s="3" t="s">
        <v>237</v>
      </c>
      <c r="C11" s="4"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ht="15" customHeight="1" thickBot="1" x14ac:dyDescent="0.3">
      <c r="A12" s="43"/>
      <c r="B12" s="3" t="s">
        <v>44</v>
      </c>
      <c r="C12" s="4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S12" s="12"/>
    </row>
    <row r="13" spans="1:19" ht="15" customHeight="1" thickBot="1" x14ac:dyDescent="0.3">
      <c r="A13" s="43"/>
      <c r="B13" s="3" t="s">
        <v>10</v>
      </c>
      <c r="C13" s="4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ht="15" customHeight="1" thickBot="1" x14ac:dyDescent="0.3">
      <c r="A14" s="43"/>
      <c r="B14" s="3" t="s">
        <v>11</v>
      </c>
      <c r="C14" s="4">
        <v>10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ht="15" customHeight="1" thickBot="1" x14ac:dyDescent="0.3">
      <c r="A15" s="43"/>
      <c r="B15" s="3" t="s">
        <v>57</v>
      </c>
      <c r="C15" s="4">
        <v>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ht="15" customHeight="1" thickBot="1" x14ac:dyDescent="0.3">
      <c r="A16" s="43"/>
      <c r="B16" s="3" t="s">
        <v>12</v>
      </c>
      <c r="C16" s="4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" customHeight="1" thickBot="1" x14ac:dyDescent="0.3">
      <c r="A17" s="43"/>
      <c r="B17" s="3" t="s">
        <v>58</v>
      </c>
      <c r="C17" s="4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" customHeight="1" thickBot="1" x14ac:dyDescent="0.3">
      <c r="A18" s="43"/>
      <c r="B18" s="3" t="s">
        <v>59</v>
      </c>
      <c r="C18" s="4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" customHeight="1" thickBot="1" x14ac:dyDescent="0.3">
      <c r="A19" s="43"/>
      <c r="B19" s="3" t="s">
        <v>46</v>
      </c>
      <c r="C19" s="4">
        <v>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thickBot="1" x14ac:dyDescent="0.3">
      <c r="A20" s="43"/>
      <c r="B20" s="3" t="s">
        <v>15</v>
      </c>
      <c r="C20" s="4"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thickBot="1" x14ac:dyDescent="0.3">
      <c r="A21" s="43"/>
      <c r="B21" s="3" t="s">
        <v>16</v>
      </c>
      <c r="C21" s="4"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" customHeight="1" thickBot="1" x14ac:dyDescent="0.3">
      <c r="A22" s="43"/>
      <c r="B22" s="3" t="s">
        <v>17</v>
      </c>
      <c r="C22" s="4">
        <v>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" customHeight="1" thickBot="1" x14ac:dyDescent="0.3">
      <c r="A23" s="43"/>
      <c r="B23" s="3" t="s">
        <v>18</v>
      </c>
      <c r="C23" s="4">
        <v>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" customHeight="1" thickBot="1" x14ac:dyDescent="0.3">
      <c r="A24" s="43"/>
      <c r="B24" s="3" t="s">
        <v>19</v>
      </c>
      <c r="C24" s="4">
        <v>10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" customHeight="1" thickBot="1" x14ac:dyDescent="0.3">
      <c r="A25" s="43"/>
      <c r="B25" s="3" t="s">
        <v>20</v>
      </c>
      <c r="C25" s="4">
        <v>10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" customHeight="1" thickBot="1" x14ac:dyDescent="0.3">
      <c r="A26" s="43"/>
      <c r="B26" s="3" t="s">
        <v>21</v>
      </c>
      <c r="C26" s="4">
        <v>10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" customHeight="1" thickBot="1" x14ac:dyDescent="0.3">
      <c r="A27" s="43"/>
      <c r="B27" s="3" t="s">
        <v>47</v>
      </c>
      <c r="C27" s="4">
        <v>10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5.75" thickBot="1" x14ac:dyDescent="0.3">
      <c r="A28" s="44"/>
      <c r="B28" s="3" t="s">
        <v>48</v>
      </c>
      <c r="C28" s="4">
        <v>10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</sheetData>
  <mergeCells count="4">
    <mergeCell ref="A1:A2"/>
    <mergeCell ref="B1:B2"/>
    <mergeCell ref="C1:O1"/>
    <mergeCell ref="A3:A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0729-31BB-429D-B873-2832608962A5}">
  <dimension ref="A1:O27"/>
  <sheetViews>
    <sheetView topLeftCell="A11" zoomScale="115" zoomScaleNormal="115" workbookViewId="0">
      <selection activeCell="R23" sqref="R23"/>
    </sheetView>
  </sheetViews>
  <sheetFormatPr baseColWidth="10" defaultRowHeight="15" x14ac:dyDescent="0.25"/>
  <cols>
    <col min="1" max="1" width="15.140625" customWidth="1"/>
    <col min="2" max="2" width="19.140625" customWidth="1"/>
    <col min="3" max="15" width="3.7109375" customWidth="1"/>
  </cols>
  <sheetData>
    <row r="1" spans="1:15" ht="15" customHeight="1" thickBot="1" x14ac:dyDescent="0.3">
      <c r="A1" s="64" t="s">
        <v>0</v>
      </c>
      <c r="B1" s="64" t="s">
        <v>61</v>
      </c>
      <c r="C1" s="56" t="s">
        <v>2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15" customHeight="1" thickBot="1" x14ac:dyDescent="0.3">
      <c r="A2" s="65"/>
      <c r="B2" s="65"/>
      <c r="C2" s="4" t="str">
        <f>'5 PRIM'!C2</f>
        <v>P1</v>
      </c>
      <c r="D2" s="4" t="str">
        <f>'5 PRIM'!D2</f>
        <v>P2</v>
      </c>
      <c r="E2" s="4" t="str">
        <f>'5 PRIM'!E2</f>
        <v>EX</v>
      </c>
      <c r="F2" s="4" t="str">
        <f>'5 PRIM'!F2</f>
        <v>S1</v>
      </c>
      <c r="G2" s="4" t="str">
        <f>'5 PRIM'!G2</f>
        <v>P3</v>
      </c>
      <c r="H2" s="4" t="str">
        <f>'5 PRIM'!H2</f>
        <v>P4</v>
      </c>
      <c r="I2" s="4" t="str">
        <f>'5 PRIM'!I2</f>
        <v>EX</v>
      </c>
      <c r="J2" s="4" t="str">
        <f>'5 PRIM'!J2</f>
        <v>S2</v>
      </c>
      <c r="K2" s="4" t="str">
        <f>'5 PRIM'!K2</f>
        <v>P5</v>
      </c>
      <c r="L2" s="4" t="str">
        <f>'5 PRIM'!L2</f>
        <v>P6</v>
      </c>
      <c r="M2" s="4" t="str">
        <f>'5 PRIM'!M2</f>
        <v>EX</v>
      </c>
      <c r="N2" s="4" t="str">
        <f>'5 PRIM'!N2</f>
        <v>S3</v>
      </c>
      <c r="O2" s="4" t="str">
        <f>'5 PRIM'!O2</f>
        <v>TG</v>
      </c>
    </row>
    <row r="3" spans="1:15" ht="15" customHeight="1" thickBot="1" x14ac:dyDescent="0.3">
      <c r="A3" s="42" t="s">
        <v>62</v>
      </c>
      <c r="B3" s="3" t="s">
        <v>54</v>
      </c>
      <c r="C3" s="4">
        <f>+'5 PRIM'!C3</f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thickBot="1" x14ac:dyDescent="0.3">
      <c r="A4" s="43"/>
      <c r="B4" s="3" t="s">
        <v>38</v>
      </c>
      <c r="C4" s="4">
        <f>+'5 PRIM'!C4</f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 x14ac:dyDescent="0.3">
      <c r="A5" s="43"/>
      <c r="B5" s="3" t="s">
        <v>39</v>
      </c>
      <c r="C5" s="4">
        <f>+'5 PRIM'!C5</f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customHeight="1" thickBot="1" x14ac:dyDescent="0.3">
      <c r="A6" s="43"/>
      <c r="B6" s="3" t="s">
        <v>54</v>
      </c>
      <c r="C6" s="4">
        <f>+'5 PRIM'!C6</f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" customHeight="1" thickBot="1" x14ac:dyDescent="0.3">
      <c r="A7" s="43"/>
      <c r="B7" s="3" t="s">
        <v>55</v>
      </c>
      <c r="C7" s="4">
        <f>+'5 PRIM'!C7</f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" customHeight="1" thickBot="1" x14ac:dyDescent="0.3">
      <c r="A8" s="43"/>
      <c r="B8" s="3" t="s">
        <v>42</v>
      </c>
      <c r="C8" s="4">
        <f>+'5 PRIM'!C8</f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" customHeight="1" thickBot="1" x14ac:dyDescent="0.3">
      <c r="A9" s="43"/>
      <c r="B9" s="3" t="s">
        <v>56</v>
      </c>
      <c r="C9" s="4">
        <f>+'5 PRIM'!C9</f>
        <v>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thickBot="1" x14ac:dyDescent="0.3">
      <c r="A10" s="43"/>
      <c r="B10" s="3" t="s">
        <v>44</v>
      </c>
      <c r="C10" s="4">
        <f>+'5 PRIM'!C10</f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" customHeight="1" thickBot="1" x14ac:dyDescent="0.3">
      <c r="A11" s="43"/>
      <c r="B11" s="3" t="s">
        <v>10</v>
      </c>
      <c r="C11" s="4">
        <f>+'5 PRIM'!C11</f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" customHeight="1" thickBot="1" x14ac:dyDescent="0.3">
      <c r="A12" s="43"/>
      <c r="B12" s="3" t="s">
        <v>11</v>
      </c>
      <c r="C12" s="4">
        <f>+'5 PRIM'!C12</f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" customHeight="1" thickBot="1" x14ac:dyDescent="0.3">
      <c r="A13" s="43"/>
      <c r="B13" s="3" t="s">
        <v>57</v>
      </c>
      <c r="C13" s="4">
        <f>+'5 PRIM'!C13</f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" customHeight="1" thickBot="1" x14ac:dyDescent="0.3">
      <c r="A14" s="43"/>
      <c r="B14" s="3" t="s">
        <v>12</v>
      </c>
      <c r="C14" s="4">
        <f>+'5 PRIM'!C14</f>
        <v>10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" customHeight="1" thickBot="1" x14ac:dyDescent="0.3">
      <c r="A15" s="43"/>
      <c r="B15" s="3" t="s">
        <v>58</v>
      </c>
      <c r="C15" s="4">
        <f>+'5 PRIM'!C15</f>
        <v>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" customHeight="1" thickBot="1" x14ac:dyDescent="0.3">
      <c r="A16" s="43"/>
      <c r="B16" s="3" t="s">
        <v>59</v>
      </c>
      <c r="C16" s="4">
        <f>+'5 PRIM'!C16</f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" customHeight="1" thickBot="1" x14ac:dyDescent="0.3">
      <c r="A17" s="43"/>
      <c r="B17" s="3" t="s">
        <v>46</v>
      </c>
      <c r="C17" s="4">
        <f>+'5 PRIM'!C17</f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" customHeight="1" thickBot="1" x14ac:dyDescent="0.3">
      <c r="A18" s="43"/>
      <c r="B18" s="3" t="s">
        <v>15</v>
      </c>
      <c r="C18" s="4">
        <f>+'5 PRIM'!C18</f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" customHeight="1" thickBot="1" x14ac:dyDescent="0.3">
      <c r="A19" s="43"/>
      <c r="B19" s="3" t="s">
        <v>16</v>
      </c>
      <c r="C19" s="4">
        <f>+'5 PRIM'!C19</f>
        <v>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" customHeight="1" thickBot="1" x14ac:dyDescent="0.3">
      <c r="A20" s="43"/>
      <c r="B20" s="3" t="s">
        <v>17</v>
      </c>
      <c r="C20" s="4">
        <f>+'5 PRIM'!C20</f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" customHeight="1" thickBot="1" x14ac:dyDescent="0.3">
      <c r="A21" s="43"/>
      <c r="B21" s="3" t="s">
        <v>18</v>
      </c>
      <c r="C21" s="4">
        <f>+'5 PRIM'!C21</f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" customHeight="1" thickBot="1" x14ac:dyDescent="0.3">
      <c r="A22" s="43"/>
      <c r="B22" s="3" t="s">
        <v>19</v>
      </c>
      <c r="C22" s="4">
        <f>+'5 PRIM'!C22</f>
        <v>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" customHeight="1" thickBot="1" x14ac:dyDescent="0.3">
      <c r="A23" s="43"/>
      <c r="B23" s="3" t="s">
        <v>20</v>
      </c>
      <c r="C23" s="4">
        <f>+'5 PRIM'!C23</f>
        <v>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" customHeight="1" thickBot="1" x14ac:dyDescent="0.3">
      <c r="A24" s="43"/>
      <c r="B24" s="3" t="s">
        <v>21</v>
      </c>
      <c r="C24" s="4">
        <f>+'5 PRIM'!C24</f>
        <v>10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" customHeight="1" thickBot="1" x14ac:dyDescent="0.3">
      <c r="A25" s="43"/>
      <c r="B25" s="3" t="s">
        <v>47</v>
      </c>
      <c r="C25" s="4">
        <f>+'5 PRIM'!C25</f>
        <v>10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" customHeight="1" thickBot="1" x14ac:dyDescent="0.3">
      <c r="A26" s="44"/>
      <c r="B26" s="3" t="s">
        <v>48</v>
      </c>
      <c r="C26" s="4">
        <f>+'5 PRIM'!C26</f>
        <v>10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.75" x14ac:dyDescent="0.25">
      <c r="A27" s="11"/>
    </row>
  </sheetData>
  <mergeCells count="4">
    <mergeCell ref="A1:A2"/>
    <mergeCell ref="B1:B2"/>
    <mergeCell ref="A3:A26"/>
    <mergeCell ref="C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9129-176A-45A4-8F77-423656D8DEFD}">
  <dimension ref="A1:N20"/>
  <sheetViews>
    <sheetView topLeftCell="A4" workbookViewId="0">
      <selection activeCell="L14" sqref="L14"/>
    </sheetView>
  </sheetViews>
  <sheetFormatPr baseColWidth="10" defaultRowHeight="15" x14ac:dyDescent="0.25"/>
  <cols>
    <col min="1" max="1" width="3.42578125" customWidth="1"/>
    <col min="2" max="2" width="11.7109375" customWidth="1"/>
    <col min="3" max="3" width="23.85546875" bestFit="1" customWidth="1"/>
    <col min="4" max="4" width="11.7109375" customWidth="1"/>
    <col min="5" max="5" width="9.710937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21.75" customHeight="1" thickBot="1" x14ac:dyDescent="0.3">
      <c r="A3" s="15">
        <v>1</v>
      </c>
      <c r="B3" s="71"/>
      <c r="C3" s="8" t="s">
        <v>65</v>
      </c>
      <c r="D3" s="8" t="s">
        <v>66</v>
      </c>
      <c r="E3" s="17">
        <v>1</v>
      </c>
      <c r="F3" s="15">
        <v>10</v>
      </c>
      <c r="G3" s="15"/>
      <c r="H3" s="15"/>
      <c r="I3" s="15"/>
      <c r="J3" s="15"/>
      <c r="K3" s="15"/>
      <c r="L3" s="15"/>
      <c r="M3" s="15"/>
      <c r="N3" s="15"/>
    </row>
    <row r="4" spans="1:14" ht="18" customHeight="1" thickBot="1" x14ac:dyDescent="0.3">
      <c r="A4" s="15">
        <v>2</v>
      </c>
      <c r="B4" s="72"/>
      <c r="C4" s="16" t="s">
        <v>68</v>
      </c>
      <c r="D4" s="16" t="s">
        <v>69</v>
      </c>
      <c r="E4" s="13" t="s">
        <v>82</v>
      </c>
      <c r="F4" s="15">
        <v>40</v>
      </c>
      <c r="G4" s="15"/>
      <c r="H4" s="15"/>
      <c r="I4" s="15"/>
      <c r="J4" s="15"/>
      <c r="K4" s="15"/>
      <c r="L4" s="15"/>
      <c r="M4" s="15"/>
      <c r="N4" s="15"/>
    </row>
    <row r="5" spans="1:14" ht="15" customHeight="1" thickBot="1" x14ac:dyDescent="0.3">
      <c r="A5" s="15">
        <v>3</v>
      </c>
      <c r="B5" s="72"/>
      <c r="C5" s="16" t="s">
        <v>65</v>
      </c>
      <c r="D5" s="16" t="s">
        <v>69</v>
      </c>
      <c r="E5" s="13" t="s">
        <v>70</v>
      </c>
      <c r="F5" s="15">
        <v>20</v>
      </c>
      <c r="G5" s="15"/>
      <c r="H5" s="15"/>
      <c r="I5" s="15"/>
      <c r="J5" s="15"/>
      <c r="K5" s="15"/>
      <c r="L5" s="15"/>
      <c r="M5" s="15"/>
      <c r="N5" s="15"/>
    </row>
    <row r="6" spans="1:14" ht="15" customHeight="1" thickBot="1" x14ac:dyDescent="0.3">
      <c r="A6" s="15">
        <v>4</v>
      </c>
      <c r="B6" s="72"/>
      <c r="C6" s="16" t="s">
        <v>65</v>
      </c>
      <c r="D6" s="16" t="s">
        <v>71</v>
      </c>
      <c r="E6" s="13" t="s">
        <v>70</v>
      </c>
      <c r="F6" s="15">
        <v>20</v>
      </c>
      <c r="G6" s="15"/>
      <c r="H6" s="15"/>
      <c r="I6" s="15"/>
      <c r="J6" s="15"/>
      <c r="K6" s="15"/>
      <c r="L6" s="15"/>
      <c r="M6" s="15"/>
      <c r="N6" s="15"/>
    </row>
    <row r="7" spans="1:14" ht="29.25" customHeight="1" thickBot="1" x14ac:dyDescent="0.3">
      <c r="A7" s="15">
        <v>5</v>
      </c>
      <c r="B7" s="72"/>
      <c r="C7" s="16" t="s">
        <v>72</v>
      </c>
      <c r="D7" s="16" t="s">
        <v>73</v>
      </c>
      <c r="E7" s="13" t="s">
        <v>70</v>
      </c>
      <c r="F7" s="15">
        <v>20</v>
      </c>
      <c r="G7" s="15"/>
      <c r="H7" s="15"/>
      <c r="I7" s="15"/>
      <c r="J7" s="15"/>
      <c r="K7" s="15"/>
      <c r="L7" s="15"/>
      <c r="M7" s="15"/>
      <c r="N7" s="15"/>
    </row>
    <row r="8" spans="1:14" ht="15" customHeight="1" thickBot="1" x14ac:dyDescent="0.3">
      <c r="A8" s="15">
        <v>6</v>
      </c>
      <c r="B8" s="72"/>
      <c r="C8" s="16" t="s">
        <v>74</v>
      </c>
      <c r="D8" s="16" t="s">
        <v>75</v>
      </c>
      <c r="E8" s="13" t="s">
        <v>67</v>
      </c>
      <c r="F8" s="15">
        <v>10</v>
      </c>
      <c r="G8" s="15"/>
      <c r="H8" s="15"/>
      <c r="I8" s="15"/>
      <c r="J8" s="15"/>
      <c r="K8" s="15"/>
      <c r="L8" s="15"/>
      <c r="M8" s="15"/>
      <c r="N8" s="15"/>
    </row>
    <row r="9" spans="1:14" ht="15" customHeight="1" thickBot="1" x14ac:dyDescent="0.3">
      <c r="A9" s="15">
        <v>7</v>
      </c>
      <c r="B9" s="72"/>
      <c r="C9" s="16" t="s">
        <v>76</v>
      </c>
      <c r="D9" s="16" t="s">
        <v>66</v>
      </c>
      <c r="E9" s="13">
        <v>1</v>
      </c>
      <c r="F9" s="15">
        <v>10</v>
      </c>
      <c r="G9" s="15"/>
      <c r="H9" s="15"/>
      <c r="I9" s="15"/>
      <c r="J9" s="15"/>
      <c r="K9" s="15"/>
      <c r="L9" s="15"/>
      <c r="M9" s="15"/>
      <c r="N9" s="15"/>
    </row>
    <row r="10" spans="1:14" ht="15" customHeight="1" thickBot="1" x14ac:dyDescent="0.3">
      <c r="A10" s="15">
        <v>8</v>
      </c>
      <c r="B10" s="72"/>
      <c r="C10" s="16" t="s">
        <v>77</v>
      </c>
      <c r="D10" s="16" t="s">
        <v>71</v>
      </c>
      <c r="E10" s="13" t="s">
        <v>67</v>
      </c>
      <c r="F10" s="15">
        <v>10</v>
      </c>
      <c r="G10" s="15"/>
      <c r="H10" s="15"/>
      <c r="I10" s="15"/>
      <c r="J10" s="15"/>
      <c r="K10" s="15"/>
      <c r="L10" s="15"/>
      <c r="M10" s="15"/>
      <c r="N10" s="15"/>
    </row>
    <row r="11" spans="1:14" ht="25.5" customHeight="1" thickBot="1" x14ac:dyDescent="0.3">
      <c r="A11" s="15">
        <v>9</v>
      </c>
      <c r="B11" s="72"/>
      <c r="C11" s="16" t="s">
        <v>72</v>
      </c>
      <c r="D11" s="16" t="s">
        <v>71</v>
      </c>
      <c r="E11" s="13" t="s">
        <v>67</v>
      </c>
      <c r="F11" s="15">
        <v>10</v>
      </c>
      <c r="G11" s="15"/>
      <c r="H11" s="15"/>
      <c r="I11" s="15"/>
      <c r="J11" s="15"/>
      <c r="K11" s="15"/>
      <c r="L11" s="15"/>
      <c r="M11" s="15"/>
      <c r="N11" s="15"/>
    </row>
    <row r="12" spans="1:14" ht="15" customHeight="1" thickBot="1" x14ac:dyDescent="0.3">
      <c r="A12" s="15">
        <v>10</v>
      </c>
      <c r="B12" s="72"/>
      <c r="C12" s="16" t="s">
        <v>65</v>
      </c>
      <c r="D12" s="16" t="s">
        <v>75</v>
      </c>
      <c r="E12" s="13" t="s">
        <v>70</v>
      </c>
      <c r="F12" s="15">
        <v>20</v>
      </c>
      <c r="G12" s="15"/>
      <c r="H12" s="15"/>
      <c r="I12" s="15"/>
      <c r="J12" s="15"/>
      <c r="K12" s="15"/>
      <c r="L12" s="15"/>
      <c r="M12" s="15"/>
      <c r="N12" s="15"/>
    </row>
    <row r="13" spans="1:14" ht="23.25" customHeight="1" thickBot="1" x14ac:dyDescent="0.3">
      <c r="A13" s="15">
        <v>11</v>
      </c>
      <c r="B13" s="72"/>
      <c r="C13" s="16" t="s">
        <v>72</v>
      </c>
      <c r="D13" s="16" t="s">
        <v>75</v>
      </c>
      <c r="E13" s="13" t="s">
        <v>67</v>
      </c>
      <c r="F13" s="15">
        <v>10</v>
      </c>
      <c r="G13" s="15"/>
      <c r="H13" s="15"/>
      <c r="I13" s="15"/>
      <c r="J13" s="15"/>
      <c r="K13" s="15"/>
      <c r="L13" s="15"/>
      <c r="M13" s="15"/>
      <c r="N13" s="15"/>
    </row>
    <row r="14" spans="1:14" ht="15" customHeight="1" thickBot="1" x14ac:dyDescent="0.3">
      <c r="A14" s="15">
        <v>12</v>
      </c>
      <c r="B14" s="72"/>
      <c r="C14" s="16" t="s">
        <v>68</v>
      </c>
      <c r="D14" s="16" t="s">
        <v>75</v>
      </c>
      <c r="E14" s="13" t="s">
        <v>93</v>
      </c>
      <c r="F14" s="15">
        <v>30</v>
      </c>
      <c r="G14" s="15"/>
      <c r="H14" s="15"/>
      <c r="I14" s="15"/>
      <c r="J14" s="15"/>
      <c r="K14" s="15"/>
      <c r="L14" s="15"/>
      <c r="M14" s="15"/>
      <c r="N14" s="15"/>
    </row>
    <row r="15" spans="1:14" ht="23.25" customHeight="1" thickBot="1" x14ac:dyDescent="0.3">
      <c r="A15" s="15">
        <v>13</v>
      </c>
      <c r="B15" s="72"/>
      <c r="C15" s="16" t="s">
        <v>72</v>
      </c>
      <c r="D15" s="16" t="s">
        <v>66</v>
      </c>
      <c r="E15" s="13" t="s">
        <v>67</v>
      </c>
      <c r="F15" s="15">
        <v>10</v>
      </c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>
        <v>14</v>
      </c>
      <c r="B16" s="72"/>
      <c r="C16" s="15" t="s">
        <v>68</v>
      </c>
      <c r="D16" s="15" t="s">
        <v>290</v>
      </c>
      <c r="E16" s="15" t="s">
        <v>291</v>
      </c>
      <c r="F16" s="15">
        <v>30</v>
      </c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5">
        <v>15</v>
      </c>
      <c r="B17" s="73"/>
      <c r="C17" s="15" t="s">
        <v>76</v>
      </c>
      <c r="D17" s="15" t="s">
        <v>193</v>
      </c>
      <c r="E17" s="15" t="s">
        <v>67</v>
      </c>
      <c r="F17" s="15">
        <v>10</v>
      </c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15"/>
      <c r="B18" s="15"/>
      <c r="C18" s="15" t="s">
        <v>72</v>
      </c>
      <c r="D18" s="15" t="s">
        <v>192</v>
      </c>
      <c r="E18" s="15" t="s">
        <v>67</v>
      </c>
      <c r="F18" s="15">
        <v>10</v>
      </c>
      <c r="G18" s="15"/>
      <c r="H18" s="15"/>
      <c r="I18" s="15"/>
      <c r="J18" s="15"/>
      <c r="K18" s="15"/>
      <c r="L18" s="15"/>
      <c r="M18" s="15"/>
      <c r="N18" s="15"/>
    </row>
    <row r="19" spans="1:14" x14ac:dyDescent="0.25">
      <c r="A19" s="15"/>
      <c r="B19" s="15"/>
      <c r="C19" s="15" t="s">
        <v>65</v>
      </c>
      <c r="D19" s="15" t="s">
        <v>191</v>
      </c>
      <c r="E19" s="15" t="s">
        <v>70</v>
      </c>
      <c r="F19" s="15">
        <v>20</v>
      </c>
      <c r="G19" s="15"/>
      <c r="H19" s="15"/>
      <c r="I19" s="15"/>
      <c r="J19" s="15"/>
      <c r="K19" s="15"/>
      <c r="L19" s="15"/>
      <c r="M19" s="15"/>
      <c r="N19" s="15"/>
    </row>
    <row r="20" spans="1:14" x14ac:dyDescent="0.25">
      <c r="C20" s="36" t="s">
        <v>72</v>
      </c>
      <c r="D20">
        <v>8</v>
      </c>
      <c r="E20" s="36" t="s">
        <v>70</v>
      </c>
      <c r="F20" s="37">
        <v>20</v>
      </c>
    </row>
  </sheetData>
  <mergeCells count="7">
    <mergeCell ref="E1:E2"/>
    <mergeCell ref="F1:N1"/>
    <mergeCell ref="B3:B17"/>
    <mergeCell ref="A1:A2"/>
    <mergeCell ref="B1:B2"/>
    <mergeCell ref="C1:C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EAAA-1821-4C34-8090-D00FCDA868CD}">
  <dimension ref="A1:N19"/>
  <sheetViews>
    <sheetView topLeftCell="A6" workbookViewId="0">
      <selection activeCell="I3" sqref="I3"/>
    </sheetView>
  </sheetViews>
  <sheetFormatPr baseColWidth="10" defaultRowHeight="15" x14ac:dyDescent="0.25"/>
  <cols>
    <col min="1" max="1" width="2.7109375" customWidth="1"/>
    <col min="3" max="3" width="17" customWidth="1"/>
    <col min="4" max="4" width="8.140625" customWidth="1"/>
    <col min="5" max="5" width="4.57031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8.75" customHeight="1" thickBot="1" x14ac:dyDescent="0.3">
      <c r="A3" s="15">
        <v>1</v>
      </c>
      <c r="B3" s="74" t="s">
        <v>98</v>
      </c>
      <c r="C3" s="3" t="s">
        <v>68</v>
      </c>
      <c r="D3" s="3" t="s">
        <v>81</v>
      </c>
      <c r="E3" s="3" t="s">
        <v>82</v>
      </c>
      <c r="F3" s="15">
        <v>40</v>
      </c>
      <c r="G3" s="15"/>
      <c r="H3" s="15"/>
      <c r="I3" s="15"/>
      <c r="J3" s="15"/>
      <c r="K3" s="15"/>
      <c r="L3" s="15"/>
      <c r="M3" s="15"/>
      <c r="N3" s="15"/>
    </row>
    <row r="4" spans="1:14" ht="17.25" thickBot="1" x14ac:dyDescent="0.3">
      <c r="A4" s="15">
        <v>2</v>
      </c>
      <c r="B4" s="75"/>
      <c r="C4" s="6" t="s">
        <v>68</v>
      </c>
      <c r="D4" s="6" t="s">
        <v>83</v>
      </c>
      <c r="E4" s="6" t="s">
        <v>82</v>
      </c>
      <c r="F4" s="15">
        <v>40</v>
      </c>
      <c r="G4" s="15"/>
      <c r="H4" s="15"/>
      <c r="I4" s="15"/>
      <c r="J4" s="15"/>
      <c r="K4" s="15"/>
      <c r="L4" s="15"/>
      <c r="M4" s="15"/>
      <c r="N4" s="15"/>
    </row>
    <row r="5" spans="1:14" ht="17.25" thickBot="1" x14ac:dyDescent="0.3">
      <c r="A5" s="15">
        <v>3</v>
      </c>
      <c r="B5" s="75"/>
      <c r="C5" s="6" t="s">
        <v>77</v>
      </c>
      <c r="D5" s="6" t="s">
        <v>81</v>
      </c>
      <c r="E5" s="6" t="s">
        <v>67</v>
      </c>
      <c r="F5" s="15">
        <v>10</v>
      </c>
      <c r="G5" s="15"/>
      <c r="H5" s="15"/>
      <c r="I5" s="15"/>
      <c r="J5" s="15"/>
      <c r="K5" s="15"/>
      <c r="L5" s="15"/>
      <c r="M5" s="15"/>
      <c r="N5" s="15"/>
    </row>
    <row r="6" spans="1:14" ht="17.25" thickBot="1" x14ac:dyDescent="0.3">
      <c r="A6" s="15">
        <v>4</v>
      </c>
      <c r="B6" s="75"/>
      <c r="C6" s="6" t="s">
        <v>77</v>
      </c>
      <c r="D6" s="6" t="s">
        <v>83</v>
      </c>
      <c r="E6" s="6" t="s">
        <v>67</v>
      </c>
      <c r="F6" s="15">
        <v>10</v>
      </c>
      <c r="G6" s="15"/>
      <c r="H6" s="15"/>
      <c r="I6" s="15"/>
      <c r="J6" s="15"/>
      <c r="K6" s="15"/>
      <c r="L6" s="15"/>
      <c r="M6" s="15"/>
      <c r="N6" s="15"/>
    </row>
    <row r="7" spans="1:14" ht="17.25" thickBot="1" x14ac:dyDescent="0.3">
      <c r="A7" s="15">
        <v>5</v>
      </c>
      <c r="B7" s="75"/>
      <c r="C7" s="6" t="s">
        <v>84</v>
      </c>
      <c r="D7" s="6" t="s">
        <v>81</v>
      </c>
      <c r="E7" s="6" t="s">
        <v>67</v>
      </c>
      <c r="F7" s="15">
        <v>10</v>
      </c>
      <c r="G7" s="15"/>
      <c r="H7" s="15"/>
      <c r="I7" s="15"/>
      <c r="J7" s="15"/>
      <c r="K7" s="15"/>
      <c r="L7" s="15"/>
      <c r="M7" s="15"/>
      <c r="N7" s="15"/>
    </row>
    <row r="8" spans="1:14" ht="17.25" thickBot="1" x14ac:dyDescent="0.3">
      <c r="A8" s="15">
        <v>6</v>
      </c>
      <c r="B8" s="75"/>
      <c r="C8" s="6" t="s">
        <v>65</v>
      </c>
      <c r="D8" s="6" t="s">
        <v>81</v>
      </c>
      <c r="E8" s="6" t="s">
        <v>70</v>
      </c>
      <c r="F8" s="15">
        <v>20</v>
      </c>
      <c r="G8" s="15"/>
      <c r="H8" s="15"/>
      <c r="I8" s="15"/>
      <c r="J8" s="15"/>
      <c r="K8" s="15"/>
      <c r="L8" s="15"/>
      <c r="M8" s="15"/>
      <c r="N8" s="15"/>
    </row>
    <row r="9" spans="1:14" ht="30.75" thickBot="1" x14ac:dyDescent="0.3">
      <c r="A9" s="15">
        <v>7</v>
      </c>
      <c r="B9" s="75"/>
      <c r="C9" s="6" t="s">
        <v>85</v>
      </c>
      <c r="D9" s="6" t="s">
        <v>83</v>
      </c>
      <c r="E9" s="6" t="s">
        <v>67</v>
      </c>
      <c r="F9" s="15">
        <v>10</v>
      </c>
      <c r="G9" s="15"/>
      <c r="H9" s="15"/>
      <c r="I9" s="15"/>
      <c r="J9" s="15"/>
      <c r="K9" s="15"/>
      <c r="L9" s="15"/>
      <c r="M9" s="15"/>
      <c r="N9" s="15"/>
    </row>
    <row r="10" spans="1:14" ht="17.25" thickBot="1" x14ac:dyDescent="0.3">
      <c r="A10" s="15">
        <v>8</v>
      </c>
      <c r="B10" s="75"/>
      <c r="C10" s="6" t="s">
        <v>77</v>
      </c>
      <c r="D10" s="6" t="s">
        <v>86</v>
      </c>
      <c r="E10" s="6" t="s">
        <v>67</v>
      </c>
      <c r="F10" s="15">
        <v>10</v>
      </c>
      <c r="G10" s="15"/>
      <c r="H10" s="15"/>
      <c r="I10" s="15"/>
      <c r="J10" s="15"/>
      <c r="K10" s="15"/>
      <c r="L10" s="15"/>
      <c r="M10" s="15"/>
      <c r="N10" s="15"/>
    </row>
    <row r="11" spans="1:14" ht="17.25" thickBot="1" x14ac:dyDescent="0.3">
      <c r="A11" s="15">
        <v>9</v>
      </c>
      <c r="B11" s="75"/>
      <c r="C11" s="6" t="s">
        <v>77</v>
      </c>
      <c r="D11" s="6" t="s">
        <v>87</v>
      </c>
      <c r="E11" s="6" t="s">
        <v>67</v>
      </c>
      <c r="F11" s="15">
        <v>10</v>
      </c>
      <c r="G11" s="15"/>
      <c r="H11" s="15"/>
      <c r="I11" s="15"/>
      <c r="J11" s="15"/>
      <c r="K11" s="15"/>
      <c r="L11" s="15"/>
      <c r="M11" s="15"/>
      <c r="N11" s="15"/>
    </row>
    <row r="12" spans="1:14" ht="17.25" thickBot="1" x14ac:dyDescent="0.3">
      <c r="A12" s="15">
        <v>10</v>
      </c>
      <c r="B12" s="75"/>
      <c r="C12" s="6" t="s">
        <v>88</v>
      </c>
      <c r="D12" s="6" t="s">
        <v>89</v>
      </c>
      <c r="E12" s="6" t="s">
        <v>70</v>
      </c>
      <c r="F12" s="15">
        <v>20</v>
      </c>
      <c r="G12" s="15"/>
      <c r="H12" s="15"/>
      <c r="I12" s="15"/>
      <c r="J12" s="15"/>
      <c r="K12" s="15"/>
      <c r="L12" s="15"/>
      <c r="M12" s="15"/>
      <c r="N12" s="15"/>
    </row>
    <row r="13" spans="1:14" ht="17.25" thickBot="1" x14ac:dyDescent="0.3">
      <c r="A13" s="15">
        <v>11</v>
      </c>
      <c r="B13" s="75"/>
      <c r="C13" s="6" t="s">
        <v>90</v>
      </c>
      <c r="D13" s="6" t="s">
        <v>89</v>
      </c>
      <c r="E13" s="6" t="s">
        <v>70</v>
      </c>
      <c r="F13" s="15">
        <v>20</v>
      </c>
      <c r="G13" s="15"/>
      <c r="H13" s="15"/>
      <c r="I13" s="15"/>
      <c r="J13" s="15"/>
      <c r="K13" s="15"/>
      <c r="L13" s="15"/>
      <c r="M13" s="15"/>
      <c r="N13" s="15"/>
    </row>
    <row r="14" spans="1:14" ht="17.25" thickBot="1" x14ac:dyDescent="0.3">
      <c r="A14" s="15">
        <v>12</v>
      </c>
      <c r="B14" s="75"/>
      <c r="C14" s="6" t="s">
        <v>91</v>
      </c>
      <c r="D14" s="6" t="s">
        <v>89</v>
      </c>
      <c r="E14" s="6" t="s">
        <v>70</v>
      </c>
      <c r="F14" s="15">
        <v>20</v>
      </c>
      <c r="G14" s="15"/>
      <c r="H14" s="15"/>
      <c r="I14" s="15"/>
      <c r="J14" s="15"/>
      <c r="K14" s="15"/>
      <c r="L14" s="15"/>
      <c r="M14" s="15"/>
      <c r="N14" s="15"/>
    </row>
    <row r="15" spans="1:14" ht="17.25" thickBot="1" x14ac:dyDescent="0.3">
      <c r="A15" s="15">
        <v>13</v>
      </c>
      <c r="B15" s="75"/>
      <c r="C15" s="6" t="s">
        <v>92</v>
      </c>
      <c r="D15" s="6" t="s">
        <v>89</v>
      </c>
      <c r="E15" s="6" t="s">
        <v>93</v>
      </c>
      <c r="F15" s="15">
        <v>30</v>
      </c>
      <c r="G15" s="15"/>
      <c r="H15" s="15"/>
      <c r="I15" s="15"/>
      <c r="J15" s="15"/>
      <c r="K15" s="15"/>
      <c r="L15" s="15"/>
      <c r="M15" s="15"/>
      <c r="N15" s="15"/>
    </row>
    <row r="16" spans="1:14" ht="17.25" thickBot="1" x14ac:dyDescent="0.3">
      <c r="A16" s="15">
        <v>14</v>
      </c>
      <c r="B16" s="75"/>
      <c r="C16" s="6" t="s">
        <v>91</v>
      </c>
      <c r="D16" s="6" t="s">
        <v>94</v>
      </c>
      <c r="E16" s="6" t="s">
        <v>70</v>
      </c>
      <c r="F16" s="15">
        <v>20</v>
      </c>
      <c r="G16" s="15"/>
      <c r="H16" s="15"/>
      <c r="I16" s="15"/>
      <c r="J16" s="15"/>
      <c r="K16" s="15"/>
      <c r="L16" s="15"/>
      <c r="M16" s="15"/>
      <c r="N16" s="15"/>
    </row>
    <row r="17" spans="1:14" ht="32.25" thickBot="1" x14ac:dyDescent="0.3">
      <c r="A17" s="18">
        <v>15</v>
      </c>
      <c r="B17" s="75"/>
      <c r="C17" s="19" t="s">
        <v>91</v>
      </c>
      <c r="D17" s="6" t="s">
        <v>95</v>
      </c>
      <c r="E17" s="6" t="s">
        <v>70</v>
      </c>
      <c r="F17" s="18">
        <v>20</v>
      </c>
      <c r="G17" s="18"/>
      <c r="H17" s="15"/>
      <c r="I17" s="15"/>
      <c r="J17" s="18"/>
      <c r="K17" s="18"/>
      <c r="L17" s="18"/>
      <c r="M17" s="18"/>
      <c r="N17" s="18"/>
    </row>
    <row r="18" spans="1:14" ht="17.25" thickBot="1" x14ac:dyDescent="0.3">
      <c r="A18" s="4">
        <v>16</v>
      </c>
      <c r="B18" s="76"/>
      <c r="C18" s="3" t="s">
        <v>96</v>
      </c>
      <c r="D18" s="6" t="s">
        <v>94</v>
      </c>
      <c r="E18" s="4" t="s">
        <v>67</v>
      </c>
      <c r="F18" s="4">
        <v>10</v>
      </c>
      <c r="G18" s="4"/>
      <c r="H18" s="15"/>
      <c r="I18" s="15"/>
      <c r="J18" s="4"/>
      <c r="K18" s="4"/>
      <c r="L18" s="4"/>
      <c r="M18" s="4"/>
      <c r="N18" s="4"/>
    </row>
    <row r="19" spans="1:14" ht="30.75" customHeight="1" thickBot="1" x14ac:dyDescent="0.3">
      <c r="A19" s="4">
        <v>17</v>
      </c>
      <c r="B19" s="4"/>
      <c r="C19" s="3" t="s">
        <v>289</v>
      </c>
      <c r="D19" s="6" t="s">
        <v>87</v>
      </c>
      <c r="E19" s="4" t="s">
        <v>67</v>
      </c>
      <c r="F19" s="4">
        <v>10</v>
      </c>
      <c r="G19" s="4"/>
      <c r="H19" s="15"/>
      <c r="I19" s="15"/>
      <c r="J19" s="4"/>
      <c r="K19" s="4"/>
      <c r="L19" s="4"/>
      <c r="M19" s="4"/>
      <c r="N19" s="4"/>
    </row>
  </sheetData>
  <mergeCells count="7">
    <mergeCell ref="E1:E2"/>
    <mergeCell ref="F1:N1"/>
    <mergeCell ref="B3:B1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D84F-60CE-4D6E-BD8D-6FCB485BE325}">
  <dimension ref="A1:N22"/>
  <sheetViews>
    <sheetView topLeftCell="A2" workbookViewId="0">
      <selection activeCell="J8" sqref="J8"/>
    </sheetView>
  </sheetViews>
  <sheetFormatPr baseColWidth="10" defaultRowHeight="15" x14ac:dyDescent="0.25"/>
  <cols>
    <col min="1" max="1" width="3.7109375" customWidth="1"/>
    <col min="2" max="2" width="5.42578125" customWidth="1"/>
    <col min="3" max="3" width="18.1406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7.25" customHeight="1" thickBot="1" x14ac:dyDescent="0.3">
      <c r="A3" s="15">
        <v>1</v>
      </c>
      <c r="B3" s="77" t="s">
        <v>106</v>
      </c>
      <c r="C3" s="3" t="s">
        <v>99</v>
      </c>
      <c r="D3" s="1" t="s">
        <v>81</v>
      </c>
      <c r="E3" s="1" t="s">
        <v>70</v>
      </c>
      <c r="F3" s="15">
        <v>20</v>
      </c>
      <c r="G3" s="15"/>
      <c r="H3" s="15"/>
      <c r="I3" s="15"/>
      <c r="J3" s="15"/>
      <c r="K3" s="15"/>
      <c r="L3" s="15"/>
      <c r="M3" s="15"/>
      <c r="N3" s="15"/>
    </row>
    <row r="4" spans="1:14" ht="17.25" thickBot="1" x14ac:dyDescent="0.3">
      <c r="A4" s="15">
        <v>2</v>
      </c>
      <c r="B4" s="78"/>
      <c r="C4" s="6" t="s">
        <v>99</v>
      </c>
      <c r="D4" s="2" t="s">
        <v>83</v>
      </c>
      <c r="E4" s="2" t="s">
        <v>70</v>
      </c>
      <c r="F4" s="15">
        <v>20</v>
      </c>
      <c r="G4" s="15"/>
      <c r="H4" s="15"/>
      <c r="I4" s="15"/>
      <c r="J4" s="15"/>
      <c r="K4" s="15"/>
      <c r="L4" s="15"/>
      <c r="M4" s="15"/>
      <c r="N4" s="15"/>
    </row>
    <row r="5" spans="1:14" ht="30.75" customHeight="1" thickBot="1" x14ac:dyDescent="0.3">
      <c r="A5" s="15">
        <v>3</v>
      </c>
      <c r="B5" s="78"/>
      <c r="C5" s="6" t="s">
        <v>100</v>
      </c>
      <c r="D5" s="2" t="s">
        <v>81</v>
      </c>
      <c r="E5" s="2" t="s">
        <v>67</v>
      </c>
      <c r="F5" s="15">
        <v>10</v>
      </c>
      <c r="G5" s="15"/>
      <c r="H5" s="15"/>
      <c r="I5" s="15"/>
      <c r="J5" s="15"/>
      <c r="K5" s="15"/>
      <c r="L5" s="15"/>
      <c r="M5" s="15"/>
      <c r="N5" s="15"/>
    </row>
    <row r="6" spans="1:14" ht="30.75" customHeight="1" thickBot="1" x14ac:dyDescent="0.3">
      <c r="A6" s="15">
        <v>4</v>
      </c>
      <c r="B6" s="78"/>
      <c r="C6" s="6" t="s">
        <v>100</v>
      </c>
      <c r="D6" s="2" t="s">
        <v>83</v>
      </c>
      <c r="E6" s="2" t="s">
        <v>67</v>
      </c>
      <c r="F6" s="15">
        <v>10</v>
      </c>
      <c r="G6" s="15"/>
      <c r="H6" s="15"/>
      <c r="I6" s="15"/>
      <c r="J6" s="15"/>
      <c r="K6" s="15"/>
      <c r="L6" s="15"/>
      <c r="M6" s="15"/>
      <c r="N6" s="15"/>
    </row>
    <row r="7" spans="1:14" ht="30.75" customHeight="1" thickBot="1" x14ac:dyDescent="0.3">
      <c r="A7" s="15">
        <v>5</v>
      </c>
      <c r="B7" s="78"/>
      <c r="C7" s="6" t="s">
        <v>101</v>
      </c>
      <c r="D7" s="2" t="s">
        <v>81</v>
      </c>
      <c r="E7" s="2" t="s">
        <v>67</v>
      </c>
      <c r="F7" s="15">
        <v>10</v>
      </c>
      <c r="G7" s="15"/>
      <c r="H7" s="15"/>
      <c r="I7" s="15"/>
      <c r="J7" s="15"/>
      <c r="K7" s="15"/>
      <c r="L7" s="15"/>
      <c r="M7" s="15"/>
      <c r="N7" s="15"/>
    </row>
    <row r="8" spans="1:14" ht="30.75" customHeight="1" thickBot="1" x14ac:dyDescent="0.3">
      <c r="A8" s="15">
        <v>6</v>
      </c>
      <c r="B8" s="78"/>
      <c r="C8" s="6" t="s">
        <v>101</v>
      </c>
      <c r="D8" s="2" t="s">
        <v>81</v>
      </c>
      <c r="E8" s="2" t="s">
        <v>67</v>
      </c>
      <c r="F8" s="15">
        <v>10</v>
      </c>
      <c r="G8" s="15"/>
      <c r="H8" s="15"/>
      <c r="I8" s="15"/>
      <c r="J8" s="15"/>
      <c r="K8" s="15"/>
      <c r="L8" s="15"/>
      <c r="M8" s="15"/>
      <c r="N8" s="15"/>
    </row>
    <row r="9" spans="1:14" ht="17.25" thickBot="1" x14ac:dyDescent="0.3">
      <c r="A9" s="15">
        <v>7</v>
      </c>
      <c r="B9" s="78"/>
      <c r="C9" s="6" t="s">
        <v>102</v>
      </c>
      <c r="D9" s="2" t="s">
        <v>83</v>
      </c>
      <c r="E9" s="2" t="s">
        <v>67</v>
      </c>
      <c r="F9" s="15">
        <v>10</v>
      </c>
      <c r="G9" s="15"/>
      <c r="H9" s="15"/>
      <c r="I9" s="15"/>
      <c r="J9" s="15"/>
      <c r="K9" s="15"/>
      <c r="L9" s="15"/>
      <c r="M9" s="15"/>
      <c r="N9" s="15"/>
    </row>
    <row r="10" spans="1:14" ht="30.75" customHeight="1" thickBot="1" x14ac:dyDescent="0.3">
      <c r="A10" s="15">
        <v>8</v>
      </c>
      <c r="B10" s="78"/>
      <c r="C10" s="6" t="s">
        <v>102</v>
      </c>
      <c r="D10" s="2" t="s">
        <v>86</v>
      </c>
      <c r="E10" s="2" t="s">
        <v>67</v>
      </c>
      <c r="F10" s="15">
        <v>10</v>
      </c>
      <c r="G10" s="15"/>
      <c r="H10" s="15"/>
      <c r="I10" s="15"/>
      <c r="J10" s="15"/>
      <c r="K10" s="15"/>
      <c r="L10" s="15"/>
      <c r="M10" s="15"/>
      <c r="N10" s="15"/>
    </row>
    <row r="11" spans="1:14" ht="30.75" customHeight="1" thickBot="1" x14ac:dyDescent="0.3">
      <c r="A11" s="15">
        <v>9</v>
      </c>
      <c r="B11" s="78"/>
      <c r="C11" s="6" t="s">
        <v>103</v>
      </c>
      <c r="D11" s="2" t="s">
        <v>87</v>
      </c>
      <c r="E11" s="2" t="s">
        <v>70</v>
      </c>
      <c r="F11" s="15">
        <v>20</v>
      </c>
      <c r="G11" s="15"/>
      <c r="H11" s="15"/>
      <c r="I11" s="15"/>
      <c r="J11" s="15"/>
      <c r="K11" s="15"/>
      <c r="L11" s="15"/>
      <c r="M11" s="15"/>
      <c r="N11" s="15"/>
    </row>
    <row r="12" spans="1:14" ht="30.75" thickBot="1" x14ac:dyDescent="0.3">
      <c r="A12" s="15">
        <v>10</v>
      </c>
      <c r="B12" s="78"/>
      <c r="C12" s="6" t="s">
        <v>103</v>
      </c>
      <c r="D12" s="2" t="s">
        <v>81</v>
      </c>
      <c r="E12" s="2" t="s">
        <v>67</v>
      </c>
      <c r="F12" s="15">
        <v>10</v>
      </c>
      <c r="G12" s="15"/>
      <c r="H12" s="15"/>
      <c r="I12" s="15"/>
      <c r="J12" s="15"/>
      <c r="K12" s="15"/>
      <c r="L12" s="15"/>
      <c r="M12" s="15"/>
      <c r="N12" s="15"/>
    </row>
    <row r="13" spans="1:14" ht="17.25" thickBot="1" x14ac:dyDescent="0.3">
      <c r="A13" s="15">
        <v>11</v>
      </c>
      <c r="B13" s="78"/>
      <c r="C13" s="6" t="s">
        <v>104</v>
      </c>
      <c r="D13" s="2" t="s">
        <v>87</v>
      </c>
      <c r="E13" s="2" t="s">
        <v>93</v>
      </c>
      <c r="F13" s="15">
        <v>30</v>
      </c>
      <c r="G13" s="15"/>
      <c r="H13" s="15"/>
      <c r="I13" s="15"/>
      <c r="J13" s="15"/>
      <c r="K13" s="15"/>
      <c r="L13" s="15"/>
      <c r="M13" s="15"/>
      <c r="N13" s="15"/>
    </row>
    <row r="14" spans="1:14" ht="17.25" thickBot="1" x14ac:dyDescent="0.3">
      <c r="A14" s="15">
        <v>12</v>
      </c>
      <c r="B14" s="78"/>
      <c r="C14" s="6" t="s">
        <v>92</v>
      </c>
      <c r="D14" s="2" t="s">
        <v>86</v>
      </c>
      <c r="E14" s="2" t="s">
        <v>93</v>
      </c>
      <c r="F14" s="15">
        <v>30</v>
      </c>
      <c r="G14" s="15"/>
      <c r="H14" s="15"/>
      <c r="I14" s="15"/>
      <c r="J14" s="15"/>
      <c r="K14" s="15"/>
      <c r="L14" s="15"/>
      <c r="M14" s="15"/>
      <c r="N14" s="15"/>
    </row>
    <row r="15" spans="1:14" ht="15.75" thickBot="1" x14ac:dyDescent="0.3">
      <c r="A15" s="15">
        <v>13</v>
      </c>
      <c r="B15" s="78"/>
      <c r="C15" s="6" t="s">
        <v>97</v>
      </c>
      <c r="D15" s="2" t="s">
        <v>288</v>
      </c>
      <c r="E15" s="2" t="s">
        <v>67</v>
      </c>
      <c r="F15" s="15">
        <v>10</v>
      </c>
      <c r="G15" s="15"/>
      <c r="H15" s="15"/>
      <c r="I15" s="15"/>
      <c r="J15" s="15"/>
      <c r="K15" s="15"/>
      <c r="L15" s="15"/>
      <c r="M15" s="15"/>
      <c r="N15" s="15"/>
    </row>
    <row r="16" spans="1:14" ht="17.25" thickBot="1" x14ac:dyDescent="0.3">
      <c r="A16" s="15">
        <v>14</v>
      </c>
      <c r="B16" s="78"/>
      <c r="C16" s="6" t="s">
        <v>91</v>
      </c>
      <c r="D16" s="2" t="s">
        <v>94</v>
      </c>
      <c r="E16" s="2" t="s">
        <v>70</v>
      </c>
      <c r="F16" s="15">
        <v>20</v>
      </c>
      <c r="G16" s="15"/>
      <c r="H16" s="15"/>
      <c r="I16" s="15"/>
      <c r="J16" s="15"/>
      <c r="K16" s="15"/>
      <c r="L16" s="15"/>
      <c r="M16" s="15"/>
      <c r="N16" s="15"/>
    </row>
    <row r="17" spans="1:14" ht="17.25" thickBot="1" x14ac:dyDescent="0.3">
      <c r="A17" s="18">
        <v>15</v>
      </c>
      <c r="B17" s="78"/>
      <c r="C17" s="6" t="s">
        <v>88</v>
      </c>
      <c r="D17" s="2" t="s">
        <v>86</v>
      </c>
      <c r="E17" s="2" t="s">
        <v>70</v>
      </c>
      <c r="F17" s="18">
        <v>20</v>
      </c>
      <c r="G17" s="18"/>
      <c r="H17" s="15"/>
      <c r="I17" s="15"/>
      <c r="J17" s="18"/>
      <c r="K17" s="18"/>
      <c r="L17" s="18"/>
      <c r="M17" s="18"/>
      <c r="N17" s="18"/>
    </row>
    <row r="18" spans="1:14" ht="30.75" customHeight="1" x14ac:dyDescent="0.25">
      <c r="A18" s="20">
        <v>16</v>
      </c>
      <c r="B18" s="78"/>
      <c r="C18" s="19" t="s">
        <v>92</v>
      </c>
      <c r="D18" s="14" t="s">
        <v>94</v>
      </c>
      <c r="E18" s="14" t="s">
        <v>93</v>
      </c>
      <c r="F18" s="20">
        <v>30</v>
      </c>
      <c r="G18" s="20"/>
      <c r="H18" s="18"/>
      <c r="I18" s="18"/>
      <c r="J18" s="20"/>
      <c r="K18" s="20"/>
      <c r="L18" s="20"/>
      <c r="M18" s="20"/>
      <c r="N18" s="20"/>
    </row>
    <row r="19" spans="1:14" ht="30.75" customHeight="1" x14ac:dyDescent="0.25">
      <c r="A19" s="15">
        <v>17</v>
      </c>
      <c r="B19" s="78"/>
      <c r="C19" s="21" t="s">
        <v>88</v>
      </c>
      <c r="D19" s="21" t="s">
        <v>87</v>
      </c>
      <c r="E19" s="21" t="s">
        <v>67</v>
      </c>
      <c r="F19" s="15">
        <v>10</v>
      </c>
      <c r="G19" s="15"/>
      <c r="H19" s="15"/>
      <c r="I19" s="15"/>
      <c r="J19" s="15"/>
      <c r="K19" s="15"/>
      <c r="L19" s="15"/>
      <c r="M19" s="15"/>
      <c r="N19" s="15"/>
    </row>
    <row r="20" spans="1:14" ht="16.5" x14ac:dyDescent="0.25">
      <c r="A20" s="15"/>
      <c r="B20" s="78"/>
      <c r="C20" s="21" t="s">
        <v>104</v>
      </c>
      <c r="D20" s="21" t="s">
        <v>94</v>
      </c>
      <c r="E20" s="21" t="s">
        <v>93</v>
      </c>
      <c r="F20" s="15">
        <v>30</v>
      </c>
      <c r="G20" s="15"/>
      <c r="H20" s="15"/>
      <c r="I20" s="15"/>
      <c r="J20" s="15"/>
      <c r="K20" s="15"/>
      <c r="L20" s="15"/>
      <c r="M20" s="15"/>
      <c r="N20" s="15"/>
    </row>
    <row r="21" spans="1:14" ht="16.5" x14ac:dyDescent="0.25">
      <c r="A21" s="15"/>
      <c r="B21" s="78"/>
      <c r="C21" s="21" t="s">
        <v>88</v>
      </c>
      <c r="D21" s="21" t="s">
        <v>94</v>
      </c>
      <c r="E21" s="21" t="s">
        <v>70</v>
      </c>
      <c r="F21" s="15">
        <v>20</v>
      </c>
      <c r="G21" s="15"/>
      <c r="H21" s="15"/>
      <c r="I21" s="15"/>
      <c r="J21" s="15"/>
      <c r="K21" s="15"/>
      <c r="L21" s="15"/>
      <c r="M21" s="15"/>
      <c r="N21" s="15"/>
    </row>
    <row r="22" spans="1:14" ht="16.5" x14ac:dyDescent="0.25">
      <c r="A22" s="15"/>
      <c r="B22" s="79"/>
      <c r="C22" s="21" t="s">
        <v>105</v>
      </c>
      <c r="D22" s="21" t="s">
        <v>89</v>
      </c>
      <c r="E22" s="21" t="s">
        <v>70</v>
      </c>
      <c r="F22" s="15">
        <v>20</v>
      </c>
      <c r="G22" s="15"/>
      <c r="H22" s="15"/>
      <c r="I22" s="15"/>
      <c r="J22" s="15"/>
      <c r="K22" s="15"/>
      <c r="L22" s="15"/>
      <c r="M22" s="15"/>
      <c r="N22" s="15"/>
    </row>
  </sheetData>
  <mergeCells count="7">
    <mergeCell ref="E1:E2"/>
    <mergeCell ref="F1:N1"/>
    <mergeCell ref="B3:B2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F18-612B-475F-9DC1-9BC587F35D02}">
  <dimension ref="A1:N22"/>
  <sheetViews>
    <sheetView topLeftCell="A6" workbookViewId="0">
      <selection activeCell="N2" sqref="N2"/>
    </sheetView>
  </sheetViews>
  <sheetFormatPr baseColWidth="10" defaultRowHeight="15" x14ac:dyDescent="0.25"/>
  <cols>
    <col min="1" max="1" width="3.5703125" customWidth="1"/>
    <col min="2" max="2" width="6.7109375" customWidth="1"/>
    <col min="3" max="3" width="1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7.25" thickBot="1" x14ac:dyDescent="0.3">
      <c r="A3" s="15">
        <v>1</v>
      </c>
      <c r="B3" s="77" t="s">
        <v>118</v>
      </c>
      <c r="C3" s="3" t="s">
        <v>48</v>
      </c>
      <c r="D3" s="1" t="s">
        <v>81</v>
      </c>
      <c r="E3" s="1" t="s">
        <v>70</v>
      </c>
      <c r="F3" s="15">
        <v>20</v>
      </c>
      <c r="G3" s="15"/>
      <c r="H3" s="15"/>
      <c r="I3" s="15"/>
      <c r="J3" s="15"/>
      <c r="K3" s="15"/>
      <c r="L3" s="15"/>
      <c r="M3" s="15"/>
      <c r="N3" s="15"/>
    </row>
    <row r="4" spans="1:14" ht="17.25" thickBot="1" x14ac:dyDescent="0.3">
      <c r="A4" s="15">
        <v>2</v>
      </c>
      <c r="B4" s="78"/>
      <c r="C4" s="6" t="s">
        <v>48</v>
      </c>
      <c r="D4" s="2" t="s">
        <v>83</v>
      </c>
      <c r="E4" s="2" t="s">
        <v>70</v>
      </c>
      <c r="F4" s="15">
        <v>20</v>
      </c>
      <c r="G4" s="15"/>
      <c r="H4" s="15"/>
      <c r="I4" s="15"/>
      <c r="J4" s="15"/>
      <c r="K4" s="15"/>
      <c r="L4" s="15"/>
      <c r="M4" s="15"/>
      <c r="N4" s="15"/>
    </row>
    <row r="5" spans="1:14" ht="17.25" thickBot="1" x14ac:dyDescent="0.3">
      <c r="A5" s="15">
        <v>3</v>
      </c>
      <c r="B5" s="78"/>
      <c r="C5" s="6" t="s">
        <v>107</v>
      </c>
      <c r="D5" s="2" t="s">
        <v>83</v>
      </c>
      <c r="E5" s="2" t="s">
        <v>70</v>
      </c>
      <c r="F5" s="15">
        <v>20</v>
      </c>
      <c r="G5" s="15"/>
      <c r="H5" s="15"/>
      <c r="I5" s="15"/>
      <c r="J5" s="15"/>
      <c r="K5" s="15"/>
      <c r="L5" s="15"/>
      <c r="M5" s="15"/>
      <c r="N5" s="15"/>
    </row>
    <row r="6" spans="1:14" ht="17.25" thickBot="1" x14ac:dyDescent="0.3">
      <c r="A6" s="15">
        <v>4</v>
      </c>
      <c r="B6" s="78"/>
      <c r="C6" s="6" t="s">
        <v>48</v>
      </c>
      <c r="D6" s="2" t="s">
        <v>83</v>
      </c>
      <c r="E6" s="2" t="s">
        <v>70</v>
      </c>
      <c r="F6" s="15">
        <v>20</v>
      </c>
      <c r="G6" s="15"/>
      <c r="H6" s="15"/>
      <c r="I6" s="15"/>
      <c r="J6" s="15"/>
      <c r="K6" s="15"/>
      <c r="L6" s="15"/>
      <c r="M6" s="15"/>
      <c r="N6" s="15"/>
    </row>
    <row r="7" spans="1:14" ht="30.75" thickBot="1" x14ac:dyDescent="0.3">
      <c r="A7" s="15">
        <v>5</v>
      </c>
      <c r="B7" s="78"/>
      <c r="C7" s="6" t="s">
        <v>108</v>
      </c>
      <c r="D7" s="2" t="s">
        <v>109</v>
      </c>
      <c r="E7" s="2" t="s">
        <v>67</v>
      </c>
      <c r="F7" s="15">
        <v>10</v>
      </c>
      <c r="G7" s="15"/>
      <c r="H7" s="15"/>
      <c r="I7" s="15"/>
      <c r="J7" s="15"/>
      <c r="K7" s="15"/>
      <c r="L7" s="15"/>
      <c r="M7" s="15"/>
      <c r="N7" s="15"/>
    </row>
    <row r="8" spans="1:14" ht="30.75" thickBot="1" x14ac:dyDescent="0.3">
      <c r="A8" s="15">
        <v>6</v>
      </c>
      <c r="B8" s="78"/>
      <c r="C8" s="6" t="s">
        <v>108</v>
      </c>
      <c r="D8" s="2" t="s">
        <v>110</v>
      </c>
      <c r="E8" s="2" t="s">
        <v>67</v>
      </c>
      <c r="F8" s="15">
        <v>10</v>
      </c>
      <c r="G8" s="15"/>
      <c r="H8" s="15"/>
      <c r="I8" s="15"/>
      <c r="J8" s="15"/>
      <c r="K8" s="15"/>
      <c r="L8" s="15"/>
      <c r="M8" s="15"/>
      <c r="N8" s="15"/>
    </row>
    <row r="9" spans="1:14" ht="30.75" thickBot="1" x14ac:dyDescent="0.3">
      <c r="A9" s="15">
        <v>7</v>
      </c>
      <c r="B9" s="78"/>
      <c r="C9" s="6" t="s">
        <v>108</v>
      </c>
      <c r="D9" s="2" t="s">
        <v>111</v>
      </c>
      <c r="E9" s="2" t="s">
        <v>67</v>
      </c>
      <c r="F9" s="15">
        <v>10</v>
      </c>
      <c r="G9" s="15"/>
      <c r="H9" s="15"/>
      <c r="I9" s="15"/>
      <c r="J9" s="15"/>
      <c r="K9" s="15"/>
      <c r="L9" s="15"/>
      <c r="M9" s="15"/>
      <c r="N9" s="15"/>
    </row>
    <row r="10" spans="1:14" ht="17.25" thickBot="1" x14ac:dyDescent="0.3">
      <c r="A10" s="15">
        <v>8</v>
      </c>
      <c r="B10" s="78"/>
      <c r="C10" s="6" t="s">
        <v>107</v>
      </c>
      <c r="D10" s="2" t="s">
        <v>112</v>
      </c>
      <c r="E10" s="2" t="s">
        <v>67</v>
      </c>
      <c r="F10" s="15">
        <v>10</v>
      </c>
      <c r="G10" s="15"/>
      <c r="H10" s="15"/>
      <c r="I10" s="15"/>
      <c r="J10" s="15"/>
      <c r="K10" s="15"/>
      <c r="L10" s="15"/>
      <c r="M10" s="15"/>
      <c r="N10" s="15"/>
    </row>
    <row r="11" spans="1:14" ht="17.25" thickBot="1" x14ac:dyDescent="0.3">
      <c r="A11" s="15">
        <v>9</v>
      </c>
      <c r="B11" s="78"/>
      <c r="C11" s="6" t="s">
        <v>107</v>
      </c>
      <c r="D11" s="2" t="s">
        <v>113</v>
      </c>
      <c r="E11" s="2" t="s">
        <v>67</v>
      </c>
      <c r="F11" s="15">
        <v>10</v>
      </c>
      <c r="G11" s="15"/>
      <c r="H11" s="15"/>
      <c r="I11" s="15"/>
      <c r="J11" s="15"/>
      <c r="K11" s="15"/>
      <c r="L11" s="15"/>
      <c r="M11" s="15"/>
      <c r="N11" s="15"/>
    </row>
    <row r="12" spans="1:14" ht="17.25" thickBot="1" x14ac:dyDescent="0.3">
      <c r="A12" s="15">
        <v>10</v>
      </c>
      <c r="B12" s="78"/>
      <c r="C12" s="6" t="s">
        <v>107</v>
      </c>
      <c r="D12" s="2" t="s">
        <v>114</v>
      </c>
      <c r="E12" s="2" t="s">
        <v>67</v>
      </c>
      <c r="F12" s="15">
        <v>10</v>
      </c>
      <c r="G12" s="15"/>
      <c r="H12" s="15"/>
      <c r="I12" s="15"/>
      <c r="J12" s="15"/>
      <c r="K12" s="15"/>
      <c r="L12" s="15"/>
      <c r="M12" s="15"/>
      <c r="N12" s="15"/>
    </row>
    <row r="13" spans="1:14" ht="17.25" thickBot="1" x14ac:dyDescent="0.3">
      <c r="A13" s="15">
        <v>11</v>
      </c>
      <c r="B13" s="78"/>
      <c r="C13" s="6" t="s">
        <v>107</v>
      </c>
      <c r="D13" s="2" t="s">
        <v>115</v>
      </c>
      <c r="E13" s="2" t="s">
        <v>70</v>
      </c>
      <c r="F13" s="15">
        <v>10</v>
      </c>
      <c r="G13" s="15"/>
      <c r="H13" s="15"/>
      <c r="I13" s="15"/>
      <c r="J13" s="15"/>
      <c r="K13" s="15"/>
      <c r="L13" s="15"/>
      <c r="M13" s="15"/>
      <c r="N13" s="15"/>
    </row>
    <row r="14" spans="1:14" ht="17.25" thickBot="1" x14ac:dyDescent="0.3">
      <c r="A14" s="15">
        <v>12</v>
      </c>
      <c r="B14" s="78"/>
      <c r="C14" s="6" t="s">
        <v>116</v>
      </c>
      <c r="D14" s="2" t="s">
        <v>109</v>
      </c>
      <c r="E14" s="2" t="s">
        <v>67</v>
      </c>
      <c r="F14" s="15">
        <v>20</v>
      </c>
      <c r="G14" s="15"/>
      <c r="H14" s="15"/>
      <c r="I14" s="15"/>
      <c r="J14" s="15"/>
      <c r="K14" s="15"/>
      <c r="L14" s="15"/>
      <c r="M14" s="15"/>
      <c r="N14" s="15"/>
    </row>
    <row r="15" spans="1:14" ht="17.25" thickBot="1" x14ac:dyDescent="0.3">
      <c r="A15" s="15">
        <v>13</v>
      </c>
      <c r="B15" s="78"/>
      <c r="C15" s="6" t="s">
        <v>116</v>
      </c>
      <c r="D15" s="2" t="s">
        <v>110</v>
      </c>
      <c r="E15" s="2" t="s">
        <v>70</v>
      </c>
      <c r="F15" s="15">
        <v>20</v>
      </c>
      <c r="G15" s="15"/>
      <c r="H15" s="15"/>
      <c r="I15" s="15"/>
      <c r="J15" s="15"/>
      <c r="K15" s="15"/>
      <c r="L15" s="15"/>
      <c r="M15" s="15"/>
      <c r="N15" s="15"/>
    </row>
    <row r="16" spans="1:14" ht="17.25" thickBot="1" x14ac:dyDescent="0.3">
      <c r="A16" s="15">
        <v>14</v>
      </c>
      <c r="B16" s="78"/>
      <c r="C16" s="6" t="s">
        <v>48</v>
      </c>
      <c r="D16" s="2" t="s">
        <v>112</v>
      </c>
      <c r="E16" s="2" t="s">
        <v>70</v>
      </c>
      <c r="F16" s="15">
        <v>20</v>
      </c>
      <c r="G16" s="15"/>
      <c r="H16" s="15"/>
      <c r="I16" s="15"/>
      <c r="J16" s="15"/>
      <c r="K16" s="15"/>
      <c r="L16" s="15"/>
      <c r="M16" s="15"/>
      <c r="N16" s="15"/>
    </row>
    <row r="17" spans="1:14" ht="17.25" thickBot="1" x14ac:dyDescent="0.3">
      <c r="A17" s="18">
        <v>15</v>
      </c>
      <c r="B17" s="78"/>
      <c r="C17" s="6" t="s">
        <v>117</v>
      </c>
      <c r="D17" s="2" t="s">
        <v>113</v>
      </c>
      <c r="E17" s="2" t="s">
        <v>70</v>
      </c>
      <c r="F17" s="18">
        <v>20</v>
      </c>
      <c r="G17" s="18"/>
      <c r="H17" s="15"/>
      <c r="I17" s="15"/>
      <c r="J17" s="18"/>
      <c r="K17" s="18"/>
      <c r="L17" s="18"/>
      <c r="M17" s="18"/>
      <c r="N17" s="18"/>
    </row>
    <row r="18" spans="1:14" ht="17.25" thickBot="1" x14ac:dyDescent="0.3">
      <c r="A18" s="20">
        <v>16</v>
      </c>
      <c r="B18" s="78"/>
      <c r="C18" s="6" t="s">
        <v>48</v>
      </c>
      <c r="D18" s="2" t="s">
        <v>114</v>
      </c>
      <c r="E18" s="2" t="s">
        <v>70</v>
      </c>
      <c r="F18" s="20">
        <v>20</v>
      </c>
      <c r="G18" s="20"/>
      <c r="H18" s="18"/>
      <c r="I18" s="18"/>
      <c r="J18" s="20"/>
      <c r="K18" s="20"/>
      <c r="L18" s="20"/>
      <c r="M18" s="20"/>
      <c r="N18" s="20"/>
    </row>
    <row r="19" spans="1:14" x14ac:dyDescent="0.25">
      <c r="A19" s="15">
        <v>17</v>
      </c>
      <c r="B19" s="78"/>
    </row>
    <row r="20" spans="1:14" x14ac:dyDescent="0.25">
      <c r="A20" s="15"/>
      <c r="B20" s="78"/>
    </row>
    <row r="21" spans="1:14" x14ac:dyDescent="0.25">
      <c r="A21" s="15"/>
      <c r="B21" s="78"/>
    </row>
    <row r="22" spans="1:14" x14ac:dyDescent="0.25">
      <c r="A22" s="15"/>
      <c r="B22" s="79"/>
    </row>
  </sheetData>
  <mergeCells count="7">
    <mergeCell ref="E1:E2"/>
    <mergeCell ref="F1:N1"/>
    <mergeCell ref="B3:B2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A19C-D567-4C58-9128-4D1930A87E49}">
  <dimension ref="A1:N22"/>
  <sheetViews>
    <sheetView workbookViewId="0">
      <selection activeCell="I3" sqref="I3"/>
    </sheetView>
  </sheetViews>
  <sheetFormatPr baseColWidth="10" defaultRowHeight="15" x14ac:dyDescent="0.25"/>
  <cols>
    <col min="1" max="1" width="4.28515625" customWidth="1"/>
    <col min="3" max="3" width="23.1406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7.25" thickBot="1" x14ac:dyDescent="0.3">
      <c r="A3" s="15">
        <v>1</v>
      </c>
      <c r="B3" s="77" t="s">
        <v>131</v>
      </c>
      <c r="C3" s="3" t="s">
        <v>119</v>
      </c>
      <c r="D3" s="1" t="s">
        <v>83</v>
      </c>
      <c r="E3" s="1" t="s">
        <v>93</v>
      </c>
      <c r="F3" s="15">
        <v>30</v>
      </c>
      <c r="G3" s="15"/>
      <c r="H3" s="15"/>
      <c r="I3" s="15"/>
      <c r="J3" s="15"/>
      <c r="K3" s="15"/>
      <c r="L3" s="15"/>
      <c r="M3" s="15"/>
      <c r="N3" s="15"/>
    </row>
    <row r="4" spans="1:14" ht="17.25" thickBot="1" x14ac:dyDescent="0.3">
      <c r="A4" s="15">
        <v>2</v>
      </c>
      <c r="B4" s="78"/>
      <c r="C4" s="6" t="s">
        <v>47</v>
      </c>
      <c r="D4" s="2" t="s">
        <v>83</v>
      </c>
      <c r="E4" s="2" t="s">
        <v>93</v>
      </c>
      <c r="F4" s="15">
        <v>30</v>
      </c>
      <c r="G4" s="15"/>
      <c r="H4" s="15"/>
      <c r="I4" s="15"/>
      <c r="J4" s="15"/>
      <c r="K4" s="15"/>
      <c r="L4" s="15"/>
      <c r="M4" s="15"/>
      <c r="N4" s="15"/>
    </row>
    <row r="5" spans="1:14" ht="17.25" thickBot="1" x14ac:dyDescent="0.3">
      <c r="A5" s="15">
        <v>3</v>
      </c>
      <c r="B5" s="78"/>
      <c r="C5" s="6" t="s">
        <v>119</v>
      </c>
      <c r="D5" s="2" t="s">
        <v>113</v>
      </c>
      <c r="E5" s="2" t="s">
        <v>82</v>
      </c>
      <c r="F5" s="15">
        <v>40</v>
      </c>
      <c r="G5" s="15"/>
      <c r="H5" s="15"/>
      <c r="I5" s="15"/>
      <c r="J5" s="15"/>
      <c r="K5" s="15"/>
      <c r="L5" s="15"/>
      <c r="M5" s="15"/>
      <c r="N5" s="15"/>
    </row>
    <row r="6" spans="1:14" ht="17.25" thickBot="1" x14ac:dyDescent="0.3">
      <c r="A6" s="15">
        <v>4</v>
      </c>
      <c r="B6" s="78"/>
      <c r="C6" s="6" t="s">
        <v>120</v>
      </c>
      <c r="D6" s="2" t="s">
        <v>113</v>
      </c>
      <c r="E6" s="2" t="s">
        <v>121</v>
      </c>
      <c r="F6" s="15">
        <v>50</v>
      </c>
      <c r="G6" s="15"/>
      <c r="H6" s="15"/>
      <c r="I6" s="15"/>
      <c r="J6" s="15"/>
      <c r="K6" s="15"/>
      <c r="L6" s="15"/>
      <c r="M6" s="15"/>
      <c r="N6" s="15"/>
    </row>
    <row r="7" spans="1:14" ht="30.75" thickBot="1" x14ac:dyDescent="0.3">
      <c r="A7" s="15">
        <v>5</v>
      </c>
      <c r="B7" s="78"/>
      <c r="C7" s="6" t="s">
        <v>284</v>
      </c>
      <c r="D7" s="2" t="s">
        <v>110</v>
      </c>
      <c r="E7" s="2" t="s">
        <v>70</v>
      </c>
      <c r="F7" s="15">
        <v>20</v>
      </c>
      <c r="G7" s="15"/>
      <c r="H7" s="15"/>
      <c r="I7" s="15"/>
      <c r="J7" s="15"/>
      <c r="K7" s="15"/>
      <c r="L7" s="15"/>
      <c r="M7" s="15"/>
      <c r="N7" s="15"/>
    </row>
    <row r="8" spans="1:14" ht="17.25" thickBot="1" x14ac:dyDescent="0.3">
      <c r="A8" s="15">
        <v>6</v>
      </c>
      <c r="B8" s="78"/>
      <c r="C8" s="6" t="s">
        <v>122</v>
      </c>
      <c r="D8" s="2" t="s">
        <v>123</v>
      </c>
      <c r="E8" s="2" t="s">
        <v>121</v>
      </c>
      <c r="F8" s="15">
        <v>50</v>
      </c>
      <c r="G8" s="15"/>
      <c r="H8" s="15"/>
      <c r="I8" s="15"/>
      <c r="J8" s="15"/>
      <c r="K8" s="15"/>
      <c r="L8" s="15"/>
      <c r="M8" s="15"/>
      <c r="N8" s="15"/>
    </row>
    <row r="9" spans="1:14" ht="17.25" thickBot="1" x14ac:dyDescent="0.3">
      <c r="A9" s="15">
        <v>7</v>
      </c>
      <c r="B9" s="78"/>
      <c r="C9" s="6" t="s">
        <v>122</v>
      </c>
      <c r="D9" s="2" t="s">
        <v>124</v>
      </c>
      <c r="E9" s="2" t="s">
        <v>121</v>
      </c>
      <c r="F9" s="15">
        <v>50</v>
      </c>
      <c r="G9" s="15"/>
      <c r="H9" s="15"/>
      <c r="I9" s="15"/>
      <c r="J9" s="15"/>
      <c r="K9" s="15"/>
      <c r="L9" s="15"/>
      <c r="M9" s="15"/>
      <c r="N9" s="15"/>
    </row>
    <row r="10" spans="1:14" ht="30.75" thickBot="1" x14ac:dyDescent="0.3">
      <c r="A10" s="15">
        <v>8</v>
      </c>
      <c r="B10" s="78"/>
      <c r="C10" s="6" t="s">
        <v>287</v>
      </c>
      <c r="D10" s="2" t="s">
        <v>110</v>
      </c>
      <c r="E10" s="2" t="s">
        <v>70</v>
      </c>
      <c r="F10" s="15">
        <v>20</v>
      </c>
      <c r="G10" s="15"/>
      <c r="H10" s="15"/>
      <c r="I10" s="15"/>
      <c r="J10" s="15"/>
      <c r="K10" s="15"/>
      <c r="L10" s="15"/>
      <c r="M10" s="15"/>
      <c r="N10" s="15"/>
    </row>
    <row r="11" spans="1:14" ht="17.25" thickBot="1" x14ac:dyDescent="0.3">
      <c r="A11" s="15">
        <v>9</v>
      </c>
      <c r="B11" s="78"/>
      <c r="C11" s="6" t="s">
        <v>125</v>
      </c>
      <c r="D11" s="2" t="s">
        <v>126</v>
      </c>
      <c r="E11" s="2" t="s">
        <v>70</v>
      </c>
      <c r="F11" s="15">
        <v>20</v>
      </c>
      <c r="G11" s="15"/>
      <c r="H11" s="15"/>
      <c r="I11" s="15"/>
      <c r="J11" s="15"/>
      <c r="K11" s="15"/>
      <c r="L11" s="15"/>
      <c r="M11" s="15"/>
      <c r="N11" s="15"/>
    </row>
    <row r="12" spans="1:14" ht="32.25" thickBot="1" x14ac:dyDescent="0.3">
      <c r="A12" s="15">
        <v>10</v>
      </c>
      <c r="B12" s="78"/>
      <c r="C12" s="6" t="s">
        <v>119</v>
      </c>
      <c r="D12" s="2" t="s">
        <v>127</v>
      </c>
      <c r="E12" s="2" t="s">
        <v>82</v>
      </c>
      <c r="F12" s="15">
        <v>40</v>
      </c>
      <c r="G12" s="15"/>
      <c r="H12" s="15"/>
      <c r="I12" s="15"/>
      <c r="J12" s="15"/>
      <c r="K12" s="15"/>
      <c r="L12" s="15"/>
      <c r="M12" s="15"/>
      <c r="N12" s="15"/>
    </row>
    <row r="13" spans="1:14" ht="17.25" thickBot="1" x14ac:dyDescent="0.3">
      <c r="A13" s="15">
        <v>11</v>
      </c>
      <c r="B13" s="78"/>
      <c r="C13" s="6" t="s">
        <v>119</v>
      </c>
      <c r="D13" s="2" t="s">
        <v>128</v>
      </c>
      <c r="E13" s="2" t="s">
        <v>70</v>
      </c>
      <c r="F13" s="15">
        <v>20</v>
      </c>
      <c r="G13" s="15"/>
      <c r="H13" s="15"/>
      <c r="I13" s="15"/>
      <c r="J13" s="15"/>
      <c r="K13" s="15"/>
      <c r="L13" s="15"/>
      <c r="M13" s="15"/>
      <c r="N13" s="15"/>
    </row>
    <row r="14" spans="1:14" ht="30.75" thickBot="1" x14ac:dyDescent="0.3">
      <c r="A14" s="15">
        <v>12</v>
      </c>
      <c r="B14" s="78"/>
      <c r="C14" s="6" t="s">
        <v>287</v>
      </c>
      <c r="D14" s="2" t="s">
        <v>129</v>
      </c>
      <c r="E14" s="2" t="s">
        <v>67</v>
      </c>
      <c r="F14" s="15">
        <v>10</v>
      </c>
      <c r="G14" s="15"/>
      <c r="H14" s="15"/>
      <c r="I14" s="15"/>
      <c r="J14" s="15"/>
      <c r="K14" s="15"/>
      <c r="L14" s="15"/>
      <c r="M14" s="15"/>
      <c r="N14" s="15"/>
    </row>
    <row r="15" spans="1:14" ht="17.25" thickBot="1" x14ac:dyDescent="0.3">
      <c r="A15" s="15">
        <v>13</v>
      </c>
      <c r="B15" s="78"/>
      <c r="C15" s="6" t="s">
        <v>119</v>
      </c>
      <c r="D15" s="2" t="s">
        <v>130</v>
      </c>
      <c r="E15" s="2" t="s">
        <v>70</v>
      </c>
      <c r="F15" s="15">
        <v>20</v>
      </c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>
        <v>14</v>
      </c>
      <c r="B16" s="78"/>
    </row>
    <row r="17" spans="1:2" ht="15.75" thickBot="1" x14ac:dyDescent="0.3">
      <c r="A17" s="18">
        <v>15</v>
      </c>
      <c r="B17" s="78"/>
    </row>
    <row r="18" spans="1:2" x14ac:dyDescent="0.25">
      <c r="A18" s="20">
        <v>16</v>
      </c>
      <c r="B18" s="78"/>
    </row>
    <row r="19" spans="1:2" x14ac:dyDescent="0.25">
      <c r="A19" s="15">
        <v>17</v>
      </c>
      <c r="B19" s="78"/>
    </row>
    <row r="20" spans="1:2" x14ac:dyDescent="0.25">
      <c r="A20" s="15"/>
      <c r="B20" s="78"/>
    </row>
    <row r="21" spans="1:2" x14ac:dyDescent="0.25">
      <c r="A21" s="15"/>
      <c r="B21" s="78"/>
    </row>
    <row r="22" spans="1:2" x14ac:dyDescent="0.25">
      <c r="A22" s="15"/>
      <c r="B22" s="79"/>
    </row>
  </sheetData>
  <mergeCells count="7">
    <mergeCell ref="E1:E2"/>
    <mergeCell ref="F1:N1"/>
    <mergeCell ref="B3:B2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21BB-043D-4A7E-B1F5-AD0E8722397E}">
  <dimension ref="A1:N22"/>
  <sheetViews>
    <sheetView topLeftCell="A6" workbookViewId="0">
      <selection activeCell="O13" sqref="O13"/>
    </sheetView>
  </sheetViews>
  <sheetFormatPr baseColWidth="10" defaultRowHeight="15" x14ac:dyDescent="0.25"/>
  <cols>
    <col min="1" max="1" width="3" customWidth="1"/>
    <col min="3" max="3" width="26.57031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5.75" thickBot="1" x14ac:dyDescent="0.3">
      <c r="A3" s="15">
        <v>1</v>
      </c>
      <c r="B3" s="77" t="s">
        <v>141</v>
      </c>
      <c r="C3" s="3" t="s">
        <v>120</v>
      </c>
      <c r="D3" s="1" t="s">
        <v>132</v>
      </c>
      <c r="E3" s="1" t="s">
        <v>286</v>
      </c>
      <c r="F3" s="15">
        <v>70</v>
      </c>
      <c r="G3" s="15"/>
      <c r="H3" s="15"/>
      <c r="I3" s="15"/>
      <c r="J3" s="15"/>
      <c r="K3" s="15"/>
      <c r="L3" s="15"/>
      <c r="M3" s="15"/>
      <c r="N3" s="15"/>
    </row>
    <row r="4" spans="1:14" ht="15.75" thickBot="1" x14ac:dyDescent="0.3">
      <c r="A4" s="15">
        <v>2</v>
      </c>
      <c r="B4" s="78"/>
      <c r="C4" s="6" t="s">
        <v>119</v>
      </c>
      <c r="D4" s="2" t="s">
        <v>132</v>
      </c>
      <c r="E4" s="2" t="s">
        <v>93</v>
      </c>
      <c r="F4" s="15">
        <v>30</v>
      </c>
      <c r="G4" s="15"/>
      <c r="H4" s="15"/>
      <c r="I4" s="15"/>
      <c r="J4" s="15"/>
      <c r="K4" s="15"/>
      <c r="L4" s="15"/>
      <c r="M4" s="15"/>
      <c r="N4" s="15"/>
    </row>
    <row r="5" spans="1:14" ht="15.75" thickBot="1" x14ac:dyDescent="0.3">
      <c r="A5" s="15">
        <v>3</v>
      </c>
      <c r="B5" s="78"/>
      <c r="C5" s="6" t="s">
        <v>120</v>
      </c>
      <c r="D5" s="2" t="s">
        <v>133</v>
      </c>
      <c r="E5" s="2" t="s">
        <v>121</v>
      </c>
      <c r="F5" s="15">
        <v>50</v>
      </c>
      <c r="G5" s="15"/>
      <c r="H5" s="15"/>
      <c r="I5" s="15"/>
      <c r="J5" s="15"/>
      <c r="K5" s="15"/>
      <c r="L5" s="15"/>
      <c r="M5" s="15"/>
      <c r="N5" s="15"/>
    </row>
    <row r="6" spans="1:14" ht="15.75" thickBot="1" x14ac:dyDescent="0.3">
      <c r="A6" s="15">
        <v>4</v>
      </c>
      <c r="B6" s="78"/>
      <c r="C6" s="6" t="s">
        <v>119</v>
      </c>
      <c r="D6" s="2" t="s">
        <v>133</v>
      </c>
      <c r="E6" s="2" t="s">
        <v>82</v>
      </c>
      <c r="F6" s="15">
        <v>40</v>
      </c>
      <c r="G6" s="15"/>
      <c r="H6" s="15"/>
      <c r="I6" s="15"/>
      <c r="J6" s="15"/>
      <c r="K6" s="15"/>
      <c r="L6" s="15"/>
      <c r="M6" s="15"/>
      <c r="N6" s="15"/>
    </row>
    <row r="7" spans="1:14" ht="17.25" thickBot="1" x14ac:dyDescent="0.3">
      <c r="A7" s="15">
        <v>5</v>
      </c>
      <c r="B7" s="78"/>
      <c r="C7" s="6" t="s">
        <v>122</v>
      </c>
      <c r="D7" s="2" t="s">
        <v>134</v>
      </c>
      <c r="E7" s="2" t="s">
        <v>121</v>
      </c>
      <c r="F7" s="15">
        <v>50</v>
      </c>
      <c r="G7" s="15"/>
      <c r="H7" s="15"/>
      <c r="I7" s="15"/>
      <c r="J7" s="15"/>
      <c r="K7" s="15"/>
      <c r="L7" s="15"/>
      <c r="M7" s="15"/>
      <c r="N7" s="15"/>
    </row>
    <row r="8" spans="1:14" ht="30.75" thickBot="1" x14ac:dyDescent="0.3">
      <c r="A8" s="15">
        <v>6</v>
      </c>
      <c r="B8" s="78"/>
      <c r="C8" s="6" t="s">
        <v>119</v>
      </c>
      <c r="D8" s="2" t="s">
        <v>136</v>
      </c>
      <c r="E8" s="2" t="s">
        <v>70</v>
      </c>
      <c r="F8" s="15">
        <v>20</v>
      </c>
      <c r="G8" s="15"/>
      <c r="H8" s="15"/>
      <c r="I8" s="15"/>
      <c r="J8" s="15"/>
      <c r="K8" s="15"/>
      <c r="L8" s="15"/>
      <c r="M8" s="15"/>
      <c r="N8" s="15"/>
    </row>
    <row r="9" spans="1:14" ht="32.25" thickBot="1" x14ac:dyDescent="0.3">
      <c r="A9" s="15">
        <v>7</v>
      </c>
      <c r="B9" s="78"/>
      <c r="C9" s="6" t="s">
        <v>119</v>
      </c>
      <c r="D9" s="2" t="s">
        <v>137</v>
      </c>
      <c r="E9" s="2" t="s">
        <v>82</v>
      </c>
      <c r="F9" s="15">
        <v>40</v>
      </c>
      <c r="G9" s="15"/>
      <c r="H9" s="15"/>
      <c r="I9" s="15"/>
      <c r="J9" s="15"/>
      <c r="K9" s="15"/>
      <c r="L9" s="15"/>
      <c r="M9" s="15"/>
      <c r="N9" s="15"/>
    </row>
    <row r="10" spans="1:14" ht="17.25" thickBot="1" x14ac:dyDescent="0.3">
      <c r="A10" s="15">
        <v>8</v>
      </c>
      <c r="B10" s="78"/>
      <c r="C10" s="6" t="s">
        <v>48</v>
      </c>
      <c r="D10" s="2" t="s">
        <v>115</v>
      </c>
      <c r="E10" s="2" t="s">
        <v>70</v>
      </c>
      <c r="F10" s="15">
        <v>20</v>
      </c>
      <c r="G10" s="15"/>
      <c r="H10" s="15"/>
      <c r="I10" s="15"/>
      <c r="J10" s="15"/>
      <c r="K10" s="15"/>
      <c r="L10" s="15"/>
      <c r="M10" s="15"/>
      <c r="N10" s="15"/>
    </row>
    <row r="11" spans="1:14" ht="30.75" thickBot="1" x14ac:dyDescent="0.3">
      <c r="A11" s="15">
        <v>9</v>
      </c>
      <c r="B11" s="78"/>
      <c r="C11" s="6" t="s">
        <v>287</v>
      </c>
      <c r="D11" s="2" t="s">
        <v>138</v>
      </c>
      <c r="E11" s="2" t="s">
        <v>67</v>
      </c>
      <c r="F11" s="15">
        <v>10</v>
      </c>
      <c r="G11" s="15"/>
      <c r="H11" s="15"/>
      <c r="I11" s="15"/>
      <c r="J11" s="15"/>
      <c r="K11" s="15"/>
      <c r="L11" s="15"/>
      <c r="M11" s="15"/>
      <c r="N11" s="15"/>
    </row>
    <row r="12" spans="1:14" ht="17.25" thickBot="1" x14ac:dyDescent="0.3">
      <c r="A12" s="15">
        <v>10</v>
      </c>
      <c r="B12" s="78"/>
      <c r="C12" s="6" t="s">
        <v>122</v>
      </c>
      <c r="D12" s="2" t="s">
        <v>139</v>
      </c>
      <c r="E12" s="2" t="s">
        <v>121</v>
      </c>
      <c r="F12" s="15">
        <v>50</v>
      </c>
      <c r="G12" s="15"/>
      <c r="H12" s="15"/>
      <c r="I12" s="15"/>
      <c r="J12" s="15"/>
      <c r="K12" s="15"/>
      <c r="L12" s="15"/>
      <c r="M12" s="15"/>
      <c r="N12" s="15"/>
    </row>
    <row r="13" spans="1:14" ht="30.75" thickBot="1" x14ac:dyDescent="0.3">
      <c r="A13" s="15">
        <v>11</v>
      </c>
      <c r="B13" s="78"/>
      <c r="C13" s="6" t="s">
        <v>287</v>
      </c>
      <c r="D13" s="2" t="s">
        <v>111</v>
      </c>
      <c r="E13" s="2" t="s">
        <v>70</v>
      </c>
      <c r="F13" s="15">
        <v>20</v>
      </c>
      <c r="G13" s="15"/>
      <c r="H13" s="15"/>
      <c r="I13" s="15"/>
      <c r="J13" s="15"/>
      <c r="K13" s="15"/>
      <c r="L13" s="15"/>
      <c r="M13" s="15"/>
      <c r="N13" s="15"/>
    </row>
    <row r="14" spans="1:14" x14ac:dyDescent="0.25">
      <c r="A14" s="15">
        <v>12</v>
      </c>
      <c r="B14" s="78"/>
    </row>
    <row r="15" spans="1:14" x14ac:dyDescent="0.25">
      <c r="A15" s="15">
        <v>13</v>
      </c>
      <c r="B15" s="78"/>
    </row>
    <row r="16" spans="1:14" x14ac:dyDescent="0.25">
      <c r="A16" s="15">
        <v>14</v>
      </c>
      <c r="B16" s="78"/>
    </row>
    <row r="17" spans="1:2" ht="15.75" thickBot="1" x14ac:dyDescent="0.3">
      <c r="A17" s="18">
        <v>15</v>
      </c>
      <c r="B17" s="78"/>
    </row>
    <row r="18" spans="1:2" x14ac:dyDescent="0.25">
      <c r="A18" s="20">
        <v>16</v>
      </c>
      <c r="B18" s="78"/>
    </row>
    <row r="19" spans="1:2" x14ac:dyDescent="0.25">
      <c r="A19" s="15">
        <v>17</v>
      </c>
      <c r="B19" s="78"/>
    </row>
    <row r="20" spans="1:2" x14ac:dyDescent="0.25">
      <c r="A20" s="15"/>
      <c r="B20" s="78"/>
    </row>
    <row r="21" spans="1:2" x14ac:dyDescent="0.25">
      <c r="A21" s="15"/>
      <c r="B21" s="78"/>
    </row>
    <row r="22" spans="1:2" x14ac:dyDescent="0.25">
      <c r="A22" s="15"/>
      <c r="B22" s="79"/>
    </row>
  </sheetData>
  <mergeCells count="7">
    <mergeCell ref="E1:E2"/>
    <mergeCell ref="F1:N1"/>
    <mergeCell ref="B3:B2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769A-A1B8-4D38-BA40-A538779C511A}">
  <dimension ref="A1:N22"/>
  <sheetViews>
    <sheetView topLeftCell="A6" workbookViewId="0">
      <selection activeCell="I16" sqref="I16"/>
    </sheetView>
  </sheetViews>
  <sheetFormatPr baseColWidth="10" defaultRowHeight="15" x14ac:dyDescent="0.25"/>
  <cols>
    <col min="1" max="1" width="4" customWidth="1"/>
    <col min="3" max="4" width="28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67"/>
      <c r="B2" s="67"/>
      <c r="C2" s="67"/>
      <c r="D2" s="67"/>
      <c r="E2" s="67"/>
      <c r="F2" s="15" t="s">
        <v>22</v>
      </c>
      <c r="G2" s="15" t="s">
        <v>23</v>
      </c>
      <c r="H2" s="15" t="s">
        <v>79</v>
      </c>
      <c r="I2" s="15" t="s">
        <v>26</v>
      </c>
      <c r="J2" s="15" t="s">
        <v>24</v>
      </c>
      <c r="K2" s="15" t="s">
        <v>27</v>
      </c>
      <c r="L2" s="15" t="s">
        <v>79</v>
      </c>
      <c r="M2" s="15" t="s">
        <v>30</v>
      </c>
      <c r="N2" s="15" t="s">
        <v>33</v>
      </c>
    </row>
    <row r="3" spans="1:14" ht="17.25" thickBot="1" x14ac:dyDescent="0.3">
      <c r="A3" s="15">
        <v>1</v>
      </c>
      <c r="B3" s="77" t="s">
        <v>146</v>
      </c>
      <c r="C3" s="3" t="s">
        <v>120</v>
      </c>
      <c r="D3" s="1" t="s">
        <v>83</v>
      </c>
      <c r="E3" s="1" t="s">
        <v>121</v>
      </c>
      <c r="F3" s="15">
        <v>50</v>
      </c>
      <c r="G3" s="15"/>
      <c r="H3" s="15"/>
      <c r="I3" s="15"/>
      <c r="J3" s="15"/>
      <c r="K3" s="15"/>
      <c r="L3" s="15"/>
      <c r="M3" s="15"/>
      <c r="N3" s="15"/>
    </row>
    <row r="4" spans="1:14" ht="15.75" thickBot="1" x14ac:dyDescent="0.3">
      <c r="A4" s="15">
        <v>2</v>
      </c>
      <c r="B4" s="78"/>
      <c r="C4" s="6" t="s">
        <v>47</v>
      </c>
      <c r="D4" s="2" t="s">
        <v>132</v>
      </c>
      <c r="E4" s="2" t="s">
        <v>70</v>
      </c>
      <c r="F4" s="15">
        <v>30</v>
      </c>
      <c r="G4" s="15"/>
      <c r="H4" s="15"/>
      <c r="I4" s="15"/>
      <c r="J4" s="15"/>
      <c r="K4" s="15"/>
      <c r="L4" s="15"/>
      <c r="M4" s="15"/>
      <c r="N4" s="15"/>
    </row>
    <row r="5" spans="1:14" ht="15.75" thickBot="1" x14ac:dyDescent="0.3">
      <c r="A5" s="15">
        <v>3</v>
      </c>
      <c r="B5" s="78"/>
      <c r="C5" s="6" t="s">
        <v>142</v>
      </c>
      <c r="D5" s="2" t="s">
        <v>133</v>
      </c>
      <c r="E5" s="2" t="s">
        <v>70</v>
      </c>
      <c r="F5" s="15">
        <v>20</v>
      </c>
      <c r="G5" s="15"/>
      <c r="H5" s="15"/>
      <c r="I5" s="15"/>
      <c r="J5" s="15"/>
      <c r="K5" s="15"/>
      <c r="L5" s="15"/>
      <c r="M5" s="15"/>
      <c r="N5" s="15"/>
    </row>
    <row r="6" spans="1:14" ht="17.25" thickBot="1" x14ac:dyDescent="0.3">
      <c r="A6" s="15">
        <v>4</v>
      </c>
      <c r="B6" s="78"/>
      <c r="C6" s="6" t="s">
        <v>47</v>
      </c>
      <c r="D6" s="2" t="s">
        <v>113</v>
      </c>
      <c r="E6" s="2" t="s">
        <v>70</v>
      </c>
      <c r="F6" s="15">
        <v>20</v>
      </c>
      <c r="G6" s="15"/>
      <c r="H6" s="15"/>
      <c r="I6" s="15"/>
      <c r="J6" s="15"/>
      <c r="K6" s="15"/>
      <c r="L6" s="15"/>
      <c r="M6" s="15"/>
      <c r="N6" s="15"/>
    </row>
    <row r="7" spans="1:14" ht="30.75" thickBot="1" x14ac:dyDescent="0.3">
      <c r="A7" s="15">
        <v>5</v>
      </c>
      <c r="B7" s="78"/>
      <c r="C7" s="6" t="s">
        <v>284</v>
      </c>
      <c r="D7" s="2" t="s">
        <v>109</v>
      </c>
      <c r="E7" s="2" t="s">
        <v>70</v>
      </c>
      <c r="F7" s="15">
        <v>20</v>
      </c>
      <c r="G7" s="15"/>
      <c r="H7" s="15"/>
      <c r="I7" s="15"/>
      <c r="J7" s="15"/>
      <c r="K7" s="15"/>
      <c r="L7" s="15"/>
      <c r="M7" s="15"/>
      <c r="N7" s="15"/>
    </row>
    <row r="8" spans="1:14" ht="17.25" thickBot="1" x14ac:dyDescent="0.3">
      <c r="A8" s="15">
        <v>6</v>
      </c>
      <c r="B8" s="78"/>
      <c r="C8" s="6" t="s">
        <v>47</v>
      </c>
      <c r="D8" s="2" t="s">
        <v>113</v>
      </c>
      <c r="E8" s="2" t="s">
        <v>70</v>
      </c>
      <c r="F8" s="15">
        <v>20</v>
      </c>
      <c r="G8" s="15"/>
      <c r="H8" s="15"/>
      <c r="I8" s="15"/>
      <c r="J8" s="15"/>
      <c r="K8" s="15"/>
      <c r="L8" s="15"/>
      <c r="M8" s="15"/>
      <c r="N8" s="15"/>
    </row>
    <row r="9" spans="1:14" ht="17.25" thickBot="1" x14ac:dyDescent="0.3">
      <c r="A9" s="15">
        <v>7</v>
      </c>
      <c r="B9" s="78"/>
      <c r="C9" s="6" t="s">
        <v>120</v>
      </c>
      <c r="D9" s="2" t="s">
        <v>114</v>
      </c>
      <c r="E9" s="2" t="s">
        <v>121</v>
      </c>
      <c r="F9" s="15">
        <v>50</v>
      </c>
      <c r="G9" s="15"/>
      <c r="H9" s="15"/>
      <c r="I9" s="15"/>
      <c r="J9" s="15"/>
      <c r="K9" s="15"/>
      <c r="L9" s="15"/>
      <c r="M9" s="15"/>
      <c r="N9" s="15"/>
    </row>
    <row r="10" spans="1:14" ht="17.25" thickBot="1" x14ac:dyDescent="0.3">
      <c r="A10" s="15">
        <v>8</v>
      </c>
      <c r="B10" s="78"/>
      <c r="C10" s="6" t="s">
        <v>120</v>
      </c>
      <c r="D10" s="2" t="s">
        <v>115</v>
      </c>
      <c r="E10" s="2" t="s">
        <v>121</v>
      </c>
      <c r="F10" s="15">
        <v>50</v>
      </c>
      <c r="G10" s="15"/>
      <c r="H10" s="15"/>
      <c r="I10" s="15"/>
      <c r="J10" s="15"/>
      <c r="K10" s="15"/>
      <c r="L10" s="15"/>
      <c r="M10" s="15"/>
      <c r="N10" s="15"/>
    </row>
    <row r="11" spans="1:14" ht="17.25" thickBot="1" x14ac:dyDescent="0.3">
      <c r="A11" s="15">
        <v>9</v>
      </c>
      <c r="B11" s="78"/>
      <c r="C11" s="6" t="s">
        <v>47</v>
      </c>
      <c r="D11" s="2" t="s">
        <v>143</v>
      </c>
      <c r="E11" s="2" t="s">
        <v>70</v>
      </c>
      <c r="F11" s="15">
        <v>20</v>
      </c>
      <c r="G11" s="15"/>
      <c r="H11" s="15"/>
      <c r="I11" s="15"/>
      <c r="J11" s="15"/>
      <c r="K11" s="15"/>
      <c r="L11" s="15"/>
      <c r="M11" s="15"/>
      <c r="N11" s="15"/>
    </row>
    <row r="12" spans="1:14" ht="17.25" thickBot="1" x14ac:dyDescent="0.3">
      <c r="A12" s="15">
        <v>10</v>
      </c>
      <c r="B12" s="78"/>
      <c r="C12" s="6" t="s">
        <v>144</v>
      </c>
      <c r="D12" s="2" t="s">
        <v>145</v>
      </c>
      <c r="E12" s="2" t="s">
        <v>121</v>
      </c>
      <c r="F12" s="15">
        <v>50</v>
      </c>
      <c r="G12" s="15"/>
      <c r="H12" s="15"/>
      <c r="I12" s="15"/>
      <c r="J12" s="15"/>
      <c r="K12" s="15"/>
      <c r="L12" s="15"/>
      <c r="M12" s="15"/>
      <c r="N12" s="15"/>
    </row>
    <row r="13" spans="1:14" ht="30.75" thickBot="1" x14ac:dyDescent="0.3">
      <c r="A13" s="15">
        <v>11</v>
      </c>
      <c r="B13" s="78"/>
      <c r="C13" s="6" t="s">
        <v>284</v>
      </c>
      <c r="D13" s="2" t="s">
        <v>111</v>
      </c>
      <c r="E13" s="2" t="s">
        <v>70</v>
      </c>
      <c r="F13" s="15">
        <v>20</v>
      </c>
      <c r="G13" s="15"/>
      <c r="H13" s="15"/>
      <c r="I13" s="15"/>
      <c r="J13" s="15"/>
      <c r="K13" s="15"/>
      <c r="L13" s="15"/>
      <c r="M13" s="15"/>
      <c r="N13" s="15"/>
    </row>
    <row r="14" spans="1:14" ht="30.75" thickBot="1" x14ac:dyDescent="0.3">
      <c r="A14" s="15">
        <v>12</v>
      </c>
      <c r="B14" s="78"/>
      <c r="C14" s="6" t="s">
        <v>284</v>
      </c>
      <c r="D14" s="2" t="s">
        <v>129</v>
      </c>
      <c r="E14" s="2" t="s">
        <v>67</v>
      </c>
      <c r="F14" s="15">
        <v>10</v>
      </c>
      <c r="G14" s="15"/>
      <c r="H14" s="15"/>
      <c r="I14" s="15"/>
      <c r="J14" s="15"/>
      <c r="K14" s="15"/>
      <c r="L14" s="15"/>
      <c r="M14" s="15"/>
      <c r="N14" s="15"/>
    </row>
    <row r="15" spans="1:14" ht="17.25" thickBot="1" x14ac:dyDescent="0.3">
      <c r="A15" s="15">
        <v>13</v>
      </c>
      <c r="B15" s="78"/>
      <c r="C15" s="3" t="s">
        <v>116</v>
      </c>
      <c r="D15" s="1" t="s">
        <v>111</v>
      </c>
      <c r="E15" s="1" t="s">
        <v>285</v>
      </c>
      <c r="F15" s="15">
        <v>20</v>
      </c>
      <c r="G15" s="15"/>
      <c r="H15" s="15"/>
      <c r="I15" s="15"/>
      <c r="J15" s="15"/>
      <c r="K15" s="15"/>
      <c r="L15" s="15"/>
      <c r="M15" s="15"/>
      <c r="N15" s="15"/>
    </row>
    <row r="16" spans="1:14" ht="15.75" thickBot="1" x14ac:dyDescent="0.3">
      <c r="A16" s="15">
        <v>14</v>
      </c>
      <c r="B16" s="78"/>
      <c r="C16" s="6" t="s">
        <v>116</v>
      </c>
      <c r="D16" s="2" t="s">
        <v>219</v>
      </c>
      <c r="E16" s="2" t="s">
        <v>285</v>
      </c>
      <c r="F16" s="15">
        <v>20</v>
      </c>
      <c r="G16" s="15"/>
      <c r="H16" s="15"/>
      <c r="I16" s="15"/>
      <c r="J16" s="15"/>
      <c r="K16" s="15"/>
      <c r="L16" s="15"/>
      <c r="M16" s="15"/>
      <c r="N16" s="15"/>
    </row>
    <row r="17" spans="1:2" ht="15.75" thickBot="1" x14ac:dyDescent="0.3">
      <c r="A17" s="18">
        <v>15</v>
      </c>
      <c r="B17" s="78"/>
    </row>
    <row r="18" spans="1:2" x14ac:dyDescent="0.25">
      <c r="A18" s="20">
        <v>16</v>
      </c>
      <c r="B18" s="78"/>
    </row>
    <row r="19" spans="1:2" x14ac:dyDescent="0.25">
      <c r="A19" s="15">
        <v>17</v>
      </c>
      <c r="B19" s="78"/>
    </row>
    <row r="20" spans="1:2" x14ac:dyDescent="0.25">
      <c r="A20" s="15"/>
      <c r="B20" s="78"/>
    </row>
    <row r="21" spans="1:2" x14ac:dyDescent="0.25">
      <c r="A21" s="15"/>
      <c r="B21" s="78"/>
    </row>
    <row r="22" spans="1:2" x14ac:dyDescent="0.25">
      <c r="A22" s="15"/>
      <c r="B22" s="79"/>
    </row>
  </sheetData>
  <mergeCells count="7">
    <mergeCell ref="E1:E2"/>
    <mergeCell ref="F1:N1"/>
    <mergeCell ref="B3:B2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ACED-148F-4E5F-A790-21DA9B989118}">
  <dimension ref="A1:N23"/>
  <sheetViews>
    <sheetView topLeftCell="A18" workbookViewId="0">
      <selection activeCell="E26" sqref="E26"/>
    </sheetView>
  </sheetViews>
  <sheetFormatPr baseColWidth="10" defaultRowHeight="15" x14ac:dyDescent="0.25"/>
  <cols>
    <col min="3" max="3" width="24.1406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customHeight="1" thickBot="1" x14ac:dyDescent="0.3">
      <c r="A3" s="4">
        <v>1</v>
      </c>
      <c r="B3" s="81" t="s">
        <v>164</v>
      </c>
      <c r="C3" s="3" t="s">
        <v>147</v>
      </c>
      <c r="D3" s="3" t="s">
        <v>132</v>
      </c>
      <c r="E3" s="3" t="s">
        <v>70</v>
      </c>
      <c r="F3" s="4">
        <v>20</v>
      </c>
      <c r="G3" s="4"/>
      <c r="H3" s="4">
        <f>F3*2</f>
        <v>40</v>
      </c>
      <c r="I3" s="4">
        <f>F3</f>
        <v>20</v>
      </c>
      <c r="J3" s="4"/>
      <c r="K3" s="4"/>
      <c r="L3" s="4"/>
      <c r="M3" s="4"/>
      <c r="N3" s="4">
        <v>80</v>
      </c>
    </row>
    <row r="4" spans="1:14" ht="15.75" thickBot="1" x14ac:dyDescent="0.3">
      <c r="A4" s="4">
        <v>2</v>
      </c>
      <c r="B4" s="82"/>
      <c r="C4" s="3" t="s">
        <v>147</v>
      </c>
      <c r="D4" s="3" t="s">
        <v>148</v>
      </c>
      <c r="E4" s="3" t="s">
        <v>70</v>
      </c>
      <c r="F4" s="4">
        <v>20</v>
      </c>
      <c r="G4" s="4"/>
      <c r="H4" s="4">
        <f t="shared" ref="H4:H16" si="0">F4*2</f>
        <v>40</v>
      </c>
      <c r="I4" s="4">
        <f t="shared" ref="I4:I16" si="1">F4</f>
        <v>20</v>
      </c>
      <c r="J4" s="4"/>
      <c r="K4" s="4"/>
      <c r="L4" s="4"/>
      <c r="M4" s="4"/>
      <c r="N4" s="4">
        <v>160</v>
      </c>
    </row>
    <row r="5" spans="1:14" ht="15.75" thickBot="1" x14ac:dyDescent="0.3">
      <c r="A5" s="4">
        <v>3</v>
      </c>
      <c r="B5" s="82"/>
      <c r="C5" s="3" t="s">
        <v>149</v>
      </c>
      <c r="D5" s="3" t="s">
        <v>148</v>
      </c>
      <c r="E5" s="3" t="s">
        <v>67</v>
      </c>
      <c r="F5" s="4">
        <v>10</v>
      </c>
      <c r="G5" s="4"/>
      <c r="H5" s="4">
        <f t="shared" si="0"/>
        <v>20</v>
      </c>
      <c r="I5" s="4">
        <f t="shared" si="1"/>
        <v>10</v>
      </c>
      <c r="J5" s="4"/>
      <c r="K5" s="4"/>
      <c r="L5" s="4"/>
      <c r="M5" s="4"/>
      <c r="N5" s="4">
        <v>160</v>
      </c>
    </row>
    <row r="6" spans="1:14" ht="30.75" thickBot="1" x14ac:dyDescent="0.3">
      <c r="A6" s="4">
        <v>4</v>
      </c>
      <c r="B6" s="82"/>
      <c r="C6" s="3" t="s">
        <v>149</v>
      </c>
      <c r="D6" s="3" t="s">
        <v>150</v>
      </c>
      <c r="E6" s="3" t="s">
        <v>67</v>
      </c>
      <c r="F6" s="4">
        <v>10</v>
      </c>
      <c r="G6" s="4"/>
      <c r="H6" s="4">
        <f t="shared" si="0"/>
        <v>20</v>
      </c>
      <c r="I6" s="4">
        <f t="shared" si="1"/>
        <v>10</v>
      </c>
      <c r="J6" s="4"/>
      <c r="K6" s="4"/>
      <c r="L6" s="4"/>
      <c r="M6" s="4"/>
      <c r="N6" s="4">
        <v>160</v>
      </c>
    </row>
    <row r="7" spans="1:14" ht="30.75" thickBot="1" x14ac:dyDescent="0.3">
      <c r="A7" s="4">
        <v>5</v>
      </c>
      <c r="B7" s="82"/>
      <c r="C7" s="3" t="s">
        <v>149</v>
      </c>
      <c r="D7" s="3" t="s">
        <v>151</v>
      </c>
      <c r="E7" s="3" t="s">
        <v>70</v>
      </c>
      <c r="F7" s="4">
        <v>20</v>
      </c>
      <c r="G7" s="4"/>
      <c r="H7" s="4">
        <f t="shared" si="0"/>
        <v>40</v>
      </c>
      <c r="I7" s="4">
        <f t="shared" si="1"/>
        <v>20</v>
      </c>
      <c r="J7" s="4"/>
      <c r="K7" s="4"/>
      <c r="L7" s="4"/>
      <c r="M7" s="4"/>
      <c r="N7" s="4">
        <v>80</v>
      </c>
    </row>
    <row r="8" spans="1:14" ht="17.25" thickBot="1" x14ac:dyDescent="0.3">
      <c r="A8" s="4">
        <v>6</v>
      </c>
      <c r="B8" s="82"/>
      <c r="C8" s="3" t="s">
        <v>152</v>
      </c>
      <c r="D8" s="3" t="s">
        <v>109</v>
      </c>
      <c r="E8" s="3" t="s">
        <v>82</v>
      </c>
      <c r="F8" s="4">
        <v>40</v>
      </c>
      <c r="G8" s="4"/>
      <c r="H8" s="4">
        <f t="shared" si="0"/>
        <v>80</v>
      </c>
      <c r="I8" s="4">
        <f t="shared" si="1"/>
        <v>40</v>
      </c>
      <c r="J8" s="4"/>
      <c r="K8" s="4"/>
      <c r="L8" s="4"/>
      <c r="M8" s="4"/>
      <c r="N8" s="4">
        <v>80</v>
      </c>
    </row>
    <row r="9" spans="1:14" ht="17.25" thickBot="1" x14ac:dyDescent="0.3">
      <c r="A9" s="4">
        <v>7</v>
      </c>
      <c r="B9" s="82"/>
      <c r="C9" s="3" t="s">
        <v>152</v>
      </c>
      <c r="D9" s="3" t="s">
        <v>153</v>
      </c>
      <c r="E9" s="3" t="s">
        <v>82</v>
      </c>
      <c r="F9" s="4">
        <v>40</v>
      </c>
      <c r="G9" s="4"/>
      <c r="H9" s="4">
        <f t="shared" si="0"/>
        <v>80</v>
      </c>
      <c r="I9" s="4">
        <f t="shared" si="1"/>
        <v>40</v>
      </c>
      <c r="J9" s="4"/>
      <c r="K9" s="4"/>
      <c r="L9" s="4"/>
      <c r="M9" s="4"/>
      <c r="N9" s="4">
        <v>80</v>
      </c>
    </row>
    <row r="10" spans="1:14" ht="17.25" thickBot="1" x14ac:dyDescent="0.3">
      <c r="A10" s="4">
        <v>8</v>
      </c>
      <c r="B10" s="82"/>
      <c r="C10" s="3" t="s">
        <v>154</v>
      </c>
      <c r="D10" s="3" t="s">
        <v>155</v>
      </c>
      <c r="E10" s="3" t="s">
        <v>82</v>
      </c>
      <c r="F10" s="4">
        <v>40</v>
      </c>
      <c r="G10" s="4"/>
      <c r="H10" s="4">
        <f t="shared" si="0"/>
        <v>80</v>
      </c>
      <c r="I10" s="4">
        <f t="shared" si="1"/>
        <v>40</v>
      </c>
      <c r="J10" s="4"/>
      <c r="K10" s="4"/>
      <c r="L10" s="4"/>
      <c r="M10" s="4"/>
      <c r="N10" s="4">
        <v>80</v>
      </c>
    </row>
    <row r="11" spans="1:14" ht="15.75" thickBot="1" x14ac:dyDescent="0.3">
      <c r="A11" s="4">
        <v>9</v>
      </c>
      <c r="B11" s="82"/>
      <c r="C11" s="3" t="s">
        <v>154</v>
      </c>
      <c r="D11" s="3" t="s">
        <v>156</v>
      </c>
      <c r="E11" s="3" t="s">
        <v>82</v>
      </c>
      <c r="F11" s="4">
        <v>40</v>
      </c>
      <c r="G11" s="4"/>
      <c r="H11" s="4">
        <f t="shared" si="0"/>
        <v>80</v>
      </c>
      <c r="I11" s="4">
        <f t="shared" si="1"/>
        <v>40</v>
      </c>
      <c r="J11" s="4"/>
      <c r="K11" s="4"/>
      <c r="L11" s="4"/>
      <c r="M11" s="4"/>
      <c r="N11" s="4">
        <v>160</v>
      </c>
    </row>
    <row r="12" spans="1:14" ht="15.75" thickBot="1" x14ac:dyDescent="0.3">
      <c r="A12" s="4">
        <v>10</v>
      </c>
      <c r="B12" s="82"/>
      <c r="C12" s="3" t="s">
        <v>154</v>
      </c>
      <c r="D12" s="3" t="s">
        <v>157</v>
      </c>
      <c r="E12" s="3" t="s">
        <v>121</v>
      </c>
      <c r="F12" s="4">
        <v>50</v>
      </c>
      <c r="G12" s="4"/>
      <c r="H12" s="4">
        <f t="shared" si="0"/>
        <v>100</v>
      </c>
      <c r="I12" s="4">
        <f t="shared" si="1"/>
        <v>50</v>
      </c>
      <c r="J12" s="4"/>
      <c r="K12" s="4"/>
      <c r="L12" s="4"/>
      <c r="M12" s="4"/>
      <c r="N12" s="4">
        <v>160</v>
      </c>
    </row>
    <row r="13" spans="1:14" ht="17.25" thickBot="1" x14ac:dyDescent="0.3">
      <c r="A13" s="4">
        <v>11</v>
      </c>
      <c r="B13" s="82"/>
      <c r="C13" s="3" t="s">
        <v>154</v>
      </c>
      <c r="D13" s="3" t="s">
        <v>145</v>
      </c>
      <c r="E13" s="3" t="s">
        <v>121</v>
      </c>
      <c r="F13" s="4">
        <v>50</v>
      </c>
      <c r="G13" s="4"/>
      <c r="H13" s="4">
        <f t="shared" si="0"/>
        <v>100</v>
      </c>
      <c r="I13" s="4">
        <f t="shared" si="1"/>
        <v>50</v>
      </c>
      <c r="J13" s="4"/>
      <c r="K13" s="4"/>
      <c r="L13" s="4"/>
      <c r="M13" s="4"/>
      <c r="N13" s="4">
        <v>80</v>
      </c>
    </row>
    <row r="14" spans="1:14" ht="30.75" thickBot="1" x14ac:dyDescent="0.3">
      <c r="A14" s="4">
        <v>12</v>
      </c>
      <c r="B14" s="82"/>
      <c r="C14" s="3" t="s">
        <v>158</v>
      </c>
      <c r="D14" s="3" t="s">
        <v>156</v>
      </c>
      <c r="E14" s="3" t="s">
        <v>82</v>
      </c>
      <c r="F14" s="4">
        <v>40</v>
      </c>
      <c r="G14" s="4"/>
      <c r="H14" s="4">
        <f t="shared" si="0"/>
        <v>80</v>
      </c>
      <c r="I14" s="4">
        <f t="shared" si="1"/>
        <v>40</v>
      </c>
      <c r="J14" s="4"/>
      <c r="K14" s="4"/>
      <c r="L14" s="4"/>
      <c r="M14" s="4"/>
      <c r="N14" s="4"/>
    </row>
    <row r="15" spans="1:14" ht="30.75" thickBot="1" x14ac:dyDescent="0.3">
      <c r="A15" s="4">
        <v>13</v>
      </c>
      <c r="B15" s="82"/>
      <c r="C15" s="3" t="s">
        <v>158</v>
      </c>
      <c r="D15" s="3" t="s">
        <v>157</v>
      </c>
      <c r="E15" s="3" t="s">
        <v>121</v>
      </c>
      <c r="F15" s="4">
        <v>50</v>
      </c>
      <c r="G15" s="4"/>
      <c r="H15" s="4">
        <f t="shared" si="0"/>
        <v>100</v>
      </c>
      <c r="I15" s="4">
        <f t="shared" si="1"/>
        <v>50</v>
      </c>
      <c r="J15" s="4"/>
      <c r="K15" s="4"/>
      <c r="L15" s="4"/>
      <c r="M15" s="4"/>
      <c r="N15" s="4"/>
    </row>
    <row r="16" spans="1:14" ht="30.75" thickBot="1" x14ac:dyDescent="0.3">
      <c r="A16" s="4">
        <v>14</v>
      </c>
      <c r="B16" s="82"/>
      <c r="C16" s="3" t="s">
        <v>158</v>
      </c>
      <c r="D16" s="3" t="s">
        <v>145</v>
      </c>
      <c r="E16" s="3" t="s">
        <v>121</v>
      </c>
      <c r="F16" s="4">
        <v>50</v>
      </c>
      <c r="G16" s="4"/>
      <c r="H16" s="4">
        <f t="shared" si="0"/>
        <v>100</v>
      </c>
      <c r="I16" s="4">
        <f t="shared" si="1"/>
        <v>50</v>
      </c>
      <c r="J16" s="4"/>
      <c r="K16" s="4"/>
      <c r="L16" s="4"/>
      <c r="M16" s="4"/>
      <c r="N16" s="4"/>
    </row>
    <row r="17" spans="1:14" ht="17.25" thickBot="1" x14ac:dyDescent="0.3">
      <c r="A17" s="4">
        <v>15</v>
      </c>
      <c r="B17" s="82"/>
      <c r="C17" s="3" t="s">
        <v>159</v>
      </c>
      <c r="D17" s="3" t="s">
        <v>155</v>
      </c>
      <c r="E17" s="3" t="s">
        <v>70</v>
      </c>
      <c r="F17" s="4">
        <v>20</v>
      </c>
      <c r="G17" s="4"/>
      <c r="H17" s="4"/>
      <c r="I17" s="4"/>
      <c r="J17" s="4"/>
      <c r="K17" s="4"/>
      <c r="L17" s="4"/>
      <c r="M17" s="4"/>
      <c r="N17" s="4"/>
    </row>
    <row r="18" spans="1:14" ht="15.75" thickBot="1" x14ac:dyDescent="0.3">
      <c r="A18" s="4">
        <v>16</v>
      </c>
      <c r="B18" s="82"/>
      <c r="C18" s="3" t="s">
        <v>159</v>
      </c>
      <c r="D18" s="3" t="s">
        <v>156</v>
      </c>
      <c r="E18" s="3" t="s">
        <v>70</v>
      </c>
      <c r="F18" s="4">
        <v>20</v>
      </c>
      <c r="G18" s="4"/>
      <c r="H18" s="4"/>
      <c r="I18" s="4"/>
      <c r="J18" s="4"/>
      <c r="K18" s="4"/>
      <c r="L18" s="4"/>
      <c r="M18" s="4"/>
      <c r="N18" s="4"/>
    </row>
    <row r="19" spans="1:14" ht="15.75" thickBot="1" x14ac:dyDescent="0.3">
      <c r="A19" s="4">
        <v>17</v>
      </c>
      <c r="B19" s="82"/>
      <c r="C19" s="3" t="s">
        <v>159</v>
      </c>
      <c r="D19" s="3" t="s">
        <v>157</v>
      </c>
      <c r="E19" s="3" t="s">
        <v>121</v>
      </c>
      <c r="F19" s="4">
        <v>50</v>
      </c>
      <c r="G19" s="4"/>
      <c r="H19" s="4"/>
      <c r="I19" s="4"/>
      <c r="J19" s="4"/>
      <c r="K19" s="4"/>
      <c r="L19" s="4"/>
      <c r="M19" s="4"/>
      <c r="N19" s="4"/>
    </row>
    <row r="20" spans="1:14" ht="17.25" thickBot="1" x14ac:dyDescent="0.3">
      <c r="A20" s="4"/>
      <c r="B20" s="82"/>
      <c r="C20" s="3" t="s">
        <v>159</v>
      </c>
      <c r="D20" s="3" t="s">
        <v>145</v>
      </c>
      <c r="E20" s="3" t="s">
        <v>121</v>
      </c>
      <c r="F20" s="4">
        <v>50</v>
      </c>
      <c r="G20" s="4"/>
      <c r="H20" s="4"/>
      <c r="I20" s="4"/>
      <c r="J20" s="4"/>
      <c r="K20" s="4"/>
      <c r="L20" s="4"/>
      <c r="M20" s="4"/>
      <c r="N20" s="4"/>
    </row>
    <row r="21" spans="1:14" ht="32.25" thickBot="1" x14ac:dyDescent="0.3">
      <c r="A21" s="4"/>
      <c r="B21" s="82"/>
      <c r="C21" s="3" t="s">
        <v>160</v>
      </c>
      <c r="D21" s="3" t="s">
        <v>161</v>
      </c>
      <c r="E21" s="3" t="s">
        <v>70</v>
      </c>
      <c r="F21" s="4">
        <v>20</v>
      </c>
      <c r="G21" s="4"/>
      <c r="H21" s="4"/>
      <c r="I21" s="4"/>
      <c r="J21" s="4"/>
      <c r="K21" s="4"/>
      <c r="L21" s="4"/>
      <c r="M21" s="4"/>
      <c r="N21" s="4"/>
    </row>
    <row r="22" spans="1:14" ht="15.75" thickBot="1" x14ac:dyDescent="0.3">
      <c r="A22" s="4"/>
      <c r="B22" s="82"/>
      <c r="C22" s="3" t="s">
        <v>162</v>
      </c>
      <c r="D22" s="3" t="s">
        <v>132</v>
      </c>
      <c r="E22" s="3" t="s">
        <v>70</v>
      </c>
      <c r="F22" s="4">
        <v>20</v>
      </c>
      <c r="G22" s="4"/>
      <c r="H22" s="4"/>
      <c r="I22" s="4"/>
      <c r="J22" s="4"/>
      <c r="K22" s="4"/>
      <c r="L22" s="4"/>
      <c r="M22" s="4"/>
      <c r="N22" s="4"/>
    </row>
    <row r="23" spans="1:14" ht="15.75" thickBot="1" x14ac:dyDescent="0.3">
      <c r="A23" s="4"/>
      <c r="B23" s="83"/>
      <c r="C23" s="3" t="s">
        <v>162</v>
      </c>
      <c r="D23" s="3" t="s">
        <v>163</v>
      </c>
      <c r="E23" s="3" t="s">
        <v>70</v>
      </c>
      <c r="F23" s="4">
        <v>20</v>
      </c>
      <c r="G23" s="4"/>
      <c r="H23" s="4"/>
      <c r="I23" s="4"/>
      <c r="J23" s="4"/>
      <c r="K23" s="4"/>
      <c r="L23" s="4"/>
      <c r="M23" s="4"/>
      <c r="N23" s="4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397A-B753-478D-A6CC-9179653D5C72}">
  <dimension ref="A1:N23"/>
  <sheetViews>
    <sheetView workbookViewId="0">
      <selection activeCell="I3" sqref="I3"/>
    </sheetView>
  </sheetViews>
  <sheetFormatPr baseColWidth="10" defaultRowHeight="15" x14ac:dyDescent="0.25"/>
  <cols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181</v>
      </c>
      <c r="C3" s="3" t="s">
        <v>165</v>
      </c>
      <c r="D3" s="1" t="s">
        <v>133</v>
      </c>
      <c r="E3" s="1" t="s">
        <v>82</v>
      </c>
      <c r="F3" s="4">
        <v>40</v>
      </c>
      <c r="G3" s="4"/>
      <c r="H3" s="4"/>
      <c r="I3" s="4"/>
      <c r="J3" s="4"/>
      <c r="K3" s="4"/>
      <c r="L3" s="4"/>
      <c r="M3" s="4"/>
      <c r="N3" s="4"/>
    </row>
    <row r="4" spans="1:14" ht="32.25" thickBot="1" x14ac:dyDescent="0.3">
      <c r="A4" s="4">
        <v>2</v>
      </c>
      <c r="B4" s="82"/>
      <c r="C4" s="6" t="s">
        <v>165</v>
      </c>
      <c r="D4" s="2" t="s">
        <v>166</v>
      </c>
      <c r="E4" s="2" t="s">
        <v>82</v>
      </c>
      <c r="F4" s="4">
        <v>40</v>
      </c>
      <c r="G4" s="4"/>
      <c r="H4" s="4"/>
      <c r="I4" s="4"/>
      <c r="J4" s="4"/>
      <c r="K4" s="4"/>
      <c r="L4" s="4"/>
      <c r="M4" s="4"/>
      <c r="N4" s="4"/>
    </row>
    <row r="5" spans="1:14" ht="32.25" thickBot="1" x14ac:dyDescent="0.3">
      <c r="A5" s="4">
        <v>3</v>
      </c>
      <c r="B5" s="82"/>
      <c r="C5" s="6" t="s">
        <v>165</v>
      </c>
      <c r="D5" s="2" t="s">
        <v>167</v>
      </c>
      <c r="E5" s="2" t="s">
        <v>70</v>
      </c>
      <c r="F5" s="4">
        <v>20</v>
      </c>
      <c r="G5" s="4"/>
      <c r="H5" s="4"/>
      <c r="I5" s="4"/>
      <c r="J5" s="4"/>
      <c r="K5" s="4"/>
      <c r="L5" s="4"/>
      <c r="M5" s="4"/>
      <c r="N5" s="4"/>
    </row>
    <row r="6" spans="1:14" ht="32.25" thickBot="1" x14ac:dyDescent="0.3">
      <c r="A6" s="4">
        <v>4</v>
      </c>
      <c r="B6" s="82"/>
      <c r="C6" s="6" t="s">
        <v>165</v>
      </c>
      <c r="D6" s="2" t="s">
        <v>168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7.25" thickBot="1" x14ac:dyDescent="0.3">
      <c r="A7" s="4">
        <v>5</v>
      </c>
      <c r="B7" s="82"/>
      <c r="C7" s="6" t="s">
        <v>169</v>
      </c>
      <c r="D7" s="2" t="s">
        <v>170</v>
      </c>
      <c r="E7" s="2" t="s">
        <v>70</v>
      </c>
      <c r="F7" s="4">
        <v>20</v>
      </c>
      <c r="G7" s="4"/>
      <c r="H7" s="4"/>
      <c r="I7" s="4"/>
      <c r="J7" s="4"/>
      <c r="K7" s="4"/>
      <c r="L7" s="4"/>
      <c r="M7" s="4"/>
      <c r="N7" s="4"/>
    </row>
    <row r="8" spans="1:14" ht="17.25" thickBot="1" x14ac:dyDescent="0.3">
      <c r="A8" s="4">
        <v>6</v>
      </c>
      <c r="B8" s="82"/>
      <c r="C8" s="6" t="s">
        <v>169</v>
      </c>
      <c r="D8" s="2" t="s">
        <v>171</v>
      </c>
      <c r="E8" s="2" t="s">
        <v>70</v>
      </c>
      <c r="F8" s="4">
        <v>20</v>
      </c>
      <c r="G8" s="4"/>
      <c r="H8" s="4"/>
      <c r="I8" s="4"/>
      <c r="J8" s="4"/>
      <c r="K8" s="4"/>
      <c r="L8" s="4"/>
      <c r="M8" s="4"/>
      <c r="N8" s="4"/>
    </row>
    <row r="9" spans="1:14" ht="17.25" thickBot="1" x14ac:dyDescent="0.3">
      <c r="A9" s="4">
        <v>7</v>
      </c>
      <c r="B9" s="82"/>
      <c r="C9" s="6" t="s">
        <v>172</v>
      </c>
      <c r="D9" s="2" t="s">
        <v>173</v>
      </c>
      <c r="E9" s="2" t="s">
        <v>67</v>
      </c>
      <c r="F9" s="4">
        <v>10</v>
      </c>
      <c r="G9" s="4"/>
      <c r="H9" s="4"/>
      <c r="I9" s="4"/>
      <c r="J9" s="4"/>
      <c r="K9" s="4"/>
      <c r="L9" s="4"/>
      <c r="M9" s="4"/>
      <c r="N9" s="4"/>
    </row>
    <row r="10" spans="1:14" ht="30.75" thickBot="1" x14ac:dyDescent="0.3">
      <c r="A10" s="4">
        <v>8</v>
      </c>
      <c r="B10" s="82"/>
      <c r="C10" s="6" t="s">
        <v>174</v>
      </c>
      <c r="D10" s="2" t="s">
        <v>175</v>
      </c>
      <c r="E10" s="2" t="s">
        <v>70</v>
      </c>
      <c r="F10" s="4">
        <v>20</v>
      </c>
      <c r="G10" s="4"/>
      <c r="H10" s="4"/>
      <c r="I10" s="4"/>
      <c r="J10" s="4"/>
      <c r="K10" s="4"/>
      <c r="L10" s="4"/>
      <c r="M10" s="4"/>
      <c r="N10" s="4"/>
    </row>
    <row r="11" spans="1:14" ht="30.75" thickBot="1" x14ac:dyDescent="0.3">
      <c r="A11" s="4">
        <v>9</v>
      </c>
      <c r="B11" s="82"/>
      <c r="C11" s="6" t="s">
        <v>176</v>
      </c>
      <c r="D11" s="2" t="s">
        <v>177</v>
      </c>
      <c r="E11" s="2" t="s">
        <v>70</v>
      </c>
      <c r="F11" s="4">
        <v>20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172</v>
      </c>
      <c r="D12" s="2" t="s">
        <v>178</v>
      </c>
      <c r="E12" s="2" t="s">
        <v>67</v>
      </c>
      <c r="F12" s="4">
        <v>10</v>
      </c>
      <c r="G12" s="4"/>
      <c r="H12" s="4"/>
      <c r="I12" s="4"/>
      <c r="J12" s="4"/>
      <c r="K12" s="4"/>
      <c r="L12" s="4"/>
      <c r="M12" s="4"/>
      <c r="N12" s="4"/>
    </row>
    <row r="13" spans="1:14" ht="45.75" thickBot="1" x14ac:dyDescent="0.3">
      <c r="A13" s="4">
        <v>11</v>
      </c>
      <c r="B13" s="82"/>
      <c r="C13" s="3" t="s">
        <v>292</v>
      </c>
      <c r="D13" s="1" t="s">
        <v>177</v>
      </c>
      <c r="E13" s="1" t="s">
        <v>70</v>
      </c>
      <c r="F13" s="4">
        <v>20</v>
      </c>
      <c r="G13" s="4"/>
      <c r="H13" s="4"/>
      <c r="I13" s="4"/>
      <c r="J13" s="4"/>
      <c r="K13" s="4"/>
      <c r="L13" s="4"/>
      <c r="M13" s="4"/>
      <c r="N13" s="4"/>
    </row>
    <row r="14" spans="1:14" ht="45.75" thickBot="1" x14ac:dyDescent="0.3">
      <c r="A14" s="4">
        <v>12</v>
      </c>
      <c r="B14" s="82"/>
      <c r="C14" s="6" t="s">
        <v>179</v>
      </c>
      <c r="D14" s="2" t="s">
        <v>180</v>
      </c>
      <c r="E14" s="2" t="s">
        <v>93</v>
      </c>
      <c r="F14" s="4">
        <v>30</v>
      </c>
      <c r="G14" s="4"/>
      <c r="H14" s="4"/>
      <c r="I14" s="4"/>
      <c r="J14" s="4"/>
      <c r="K14" s="4"/>
      <c r="L14" s="4"/>
      <c r="M14" s="4"/>
      <c r="N14" s="4"/>
    </row>
    <row r="15" spans="1:14" ht="30.75" thickBot="1" x14ac:dyDescent="0.3">
      <c r="A15" s="4">
        <v>13</v>
      </c>
      <c r="B15" s="82"/>
      <c r="C15" s="6" t="s">
        <v>176</v>
      </c>
      <c r="D15" s="2" t="s">
        <v>175</v>
      </c>
      <c r="E15" s="2" t="s">
        <v>70</v>
      </c>
      <c r="F15" s="4">
        <v>20</v>
      </c>
      <c r="G15" s="4"/>
      <c r="H15" s="4"/>
      <c r="I15" s="4"/>
      <c r="J15" s="4"/>
      <c r="K15" s="4"/>
      <c r="L15" s="4"/>
      <c r="M15" s="4"/>
      <c r="N15" s="4"/>
    </row>
    <row r="16" spans="1:14" ht="15.75" thickBot="1" x14ac:dyDescent="0.3">
      <c r="A16" s="4">
        <v>14</v>
      </c>
      <c r="B16" s="82"/>
    </row>
    <row r="17" spans="1:2" ht="15.75" thickBot="1" x14ac:dyDescent="0.3">
      <c r="A17" s="4">
        <v>15</v>
      </c>
      <c r="B17" s="82"/>
    </row>
    <row r="18" spans="1:2" ht="15.75" thickBot="1" x14ac:dyDescent="0.3">
      <c r="A18" s="4">
        <v>16</v>
      </c>
      <c r="B18" s="82"/>
    </row>
    <row r="19" spans="1:2" ht="15.75" thickBot="1" x14ac:dyDescent="0.3">
      <c r="A19" s="4">
        <v>17</v>
      </c>
      <c r="B19" s="82"/>
    </row>
    <row r="20" spans="1:2" ht="15.75" thickBot="1" x14ac:dyDescent="0.3">
      <c r="A20" s="4"/>
      <c r="B20" s="82"/>
    </row>
    <row r="21" spans="1:2" ht="15.75" thickBot="1" x14ac:dyDescent="0.3">
      <c r="A21" s="4"/>
      <c r="B21" s="82"/>
    </row>
    <row r="22" spans="1:2" ht="15.75" thickBot="1" x14ac:dyDescent="0.3">
      <c r="A22" s="4"/>
      <c r="B22" s="82"/>
    </row>
    <row r="23" spans="1:2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0BDA-D7CA-421B-9192-6EF5370BA887}">
  <dimension ref="A1:N23"/>
  <sheetViews>
    <sheetView topLeftCell="A6" workbookViewId="0">
      <selection activeCell="D20" sqref="D20"/>
    </sheetView>
  </sheetViews>
  <sheetFormatPr baseColWidth="10" defaultRowHeight="15" x14ac:dyDescent="0.25"/>
  <cols>
    <col min="3" max="3" width="19.285156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195</v>
      </c>
      <c r="C3" s="3" t="s">
        <v>182</v>
      </c>
      <c r="D3" s="1" t="s">
        <v>185</v>
      </c>
      <c r="E3" s="1" t="s">
        <v>93</v>
      </c>
      <c r="F3" s="4">
        <v>30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183</v>
      </c>
      <c r="D4" s="2" t="s">
        <v>186</v>
      </c>
      <c r="E4" s="2" t="s">
        <v>93</v>
      </c>
      <c r="F4" s="4">
        <v>30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182</v>
      </c>
      <c r="D5" s="2" t="s">
        <v>187</v>
      </c>
      <c r="E5" s="2" t="s">
        <v>82</v>
      </c>
      <c r="F5" s="4">
        <v>30</v>
      </c>
      <c r="G5" s="4"/>
      <c r="H5" s="4"/>
      <c r="I5" s="4"/>
      <c r="J5" s="4"/>
      <c r="K5" s="4"/>
      <c r="L5" s="4"/>
      <c r="M5" s="4"/>
      <c r="N5" s="4"/>
    </row>
    <row r="6" spans="1:14" ht="30.75" thickBot="1" x14ac:dyDescent="0.3">
      <c r="A6" s="4">
        <v>4</v>
      </c>
      <c r="B6" s="82"/>
      <c r="C6" s="6" t="s">
        <v>293</v>
      </c>
      <c r="D6" s="2" t="s">
        <v>187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45.75" thickBot="1" x14ac:dyDescent="0.3">
      <c r="A7" s="4">
        <v>5</v>
      </c>
      <c r="B7" s="82"/>
      <c r="C7" s="6" t="s">
        <v>294</v>
      </c>
      <c r="D7" s="2" t="s">
        <v>187</v>
      </c>
      <c r="E7" s="2" t="s">
        <v>70</v>
      </c>
      <c r="F7" s="4">
        <v>20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183</v>
      </c>
      <c r="D8" s="2" t="s">
        <v>187</v>
      </c>
      <c r="E8" s="2" t="s">
        <v>93</v>
      </c>
      <c r="F8" s="4">
        <v>30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182</v>
      </c>
      <c r="D9" s="2" t="s">
        <v>188</v>
      </c>
      <c r="E9" s="2" t="s">
        <v>93</v>
      </c>
      <c r="F9" s="4">
        <v>30</v>
      </c>
      <c r="G9" s="4"/>
      <c r="H9" s="4"/>
      <c r="I9" s="4"/>
      <c r="J9" s="4"/>
      <c r="K9" s="4"/>
      <c r="L9" s="4"/>
      <c r="M9" s="4"/>
      <c r="N9" s="4"/>
    </row>
    <row r="10" spans="1:14" ht="30.75" thickBot="1" x14ac:dyDescent="0.3">
      <c r="A10" s="4">
        <v>8</v>
      </c>
      <c r="B10" s="82"/>
      <c r="C10" s="6" t="s">
        <v>295</v>
      </c>
      <c r="D10" s="2" t="s">
        <v>189</v>
      </c>
      <c r="E10" s="2" t="s">
        <v>70</v>
      </c>
      <c r="F10" s="4">
        <v>20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241</v>
      </c>
      <c r="D11" s="2" t="s">
        <v>188</v>
      </c>
      <c r="E11" s="2" t="s">
        <v>121</v>
      </c>
      <c r="F11" s="4">
        <v>50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184</v>
      </c>
      <c r="D12" s="2" t="s">
        <v>190</v>
      </c>
      <c r="E12" s="2" t="s">
        <v>70</v>
      </c>
      <c r="F12" s="4">
        <v>20</v>
      </c>
      <c r="G12" s="4"/>
      <c r="H12" s="4"/>
      <c r="I12" s="4"/>
      <c r="J12" s="4"/>
      <c r="K12" s="4"/>
      <c r="L12" s="4"/>
      <c r="M12" s="4"/>
      <c r="N12" s="4"/>
    </row>
    <row r="13" spans="1:14" ht="15.75" thickBot="1" x14ac:dyDescent="0.3">
      <c r="A13" s="4">
        <v>11</v>
      </c>
      <c r="B13" s="82"/>
      <c r="C13" s="6" t="s">
        <v>169</v>
      </c>
      <c r="D13" s="2" t="s">
        <v>191</v>
      </c>
      <c r="E13" s="2" t="s">
        <v>93</v>
      </c>
      <c r="F13" s="4">
        <v>30</v>
      </c>
      <c r="G13" s="4"/>
      <c r="H13" s="4"/>
      <c r="I13" s="4"/>
      <c r="J13" s="4"/>
      <c r="K13" s="4"/>
      <c r="L13" s="4"/>
      <c r="M13" s="4"/>
      <c r="N13" s="4"/>
    </row>
    <row r="14" spans="1:14" ht="15.75" thickBot="1" x14ac:dyDescent="0.3">
      <c r="A14" s="4">
        <v>12</v>
      </c>
      <c r="B14" s="82"/>
      <c r="C14" s="6" t="s">
        <v>169</v>
      </c>
      <c r="D14" s="2" t="s">
        <v>192</v>
      </c>
      <c r="E14" s="2" t="s">
        <v>93</v>
      </c>
      <c r="F14" s="4">
        <v>30</v>
      </c>
      <c r="G14" s="4"/>
      <c r="H14" s="4"/>
      <c r="I14" s="4"/>
      <c r="J14" s="4"/>
      <c r="K14" s="4"/>
      <c r="L14" s="4"/>
      <c r="M14" s="4"/>
      <c r="N14" s="4"/>
    </row>
    <row r="15" spans="1:14" ht="15.75" thickBot="1" x14ac:dyDescent="0.3">
      <c r="A15" s="4">
        <v>13</v>
      </c>
      <c r="B15" s="82"/>
      <c r="C15" s="6" t="s">
        <v>169</v>
      </c>
      <c r="D15" s="2" t="s">
        <v>193</v>
      </c>
      <c r="E15" s="2" t="s">
        <v>70</v>
      </c>
      <c r="F15" s="4">
        <v>30</v>
      </c>
      <c r="G15" s="4"/>
      <c r="H15" s="4"/>
      <c r="I15" s="4"/>
      <c r="J15" s="4"/>
      <c r="K15" s="4"/>
      <c r="L15" s="4"/>
      <c r="M15" s="4"/>
      <c r="N15" s="4"/>
    </row>
    <row r="16" spans="1:14" ht="15.75" thickBot="1" x14ac:dyDescent="0.3">
      <c r="A16" s="4">
        <v>14</v>
      </c>
      <c r="B16" s="82"/>
      <c r="C16" s="6" t="s">
        <v>169</v>
      </c>
      <c r="D16" s="2" t="s">
        <v>194</v>
      </c>
      <c r="E16" s="2" t="s">
        <v>70</v>
      </c>
      <c r="F16" s="4">
        <v>20</v>
      </c>
      <c r="G16" s="4"/>
      <c r="H16" s="4"/>
      <c r="I16" s="4"/>
      <c r="J16" s="4"/>
      <c r="K16" s="4"/>
      <c r="L16" s="4"/>
      <c r="M16" s="4"/>
      <c r="N16" s="4"/>
    </row>
    <row r="17" spans="1:14" ht="15.75" thickBot="1" x14ac:dyDescent="0.3">
      <c r="A17" s="4">
        <v>15</v>
      </c>
      <c r="B17" s="82"/>
      <c r="C17" s="6" t="s">
        <v>241</v>
      </c>
      <c r="D17" s="2" t="s">
        <v>189</v>
      </c>
      <c r="E17" s="2" t="s">
        <v>140</v>
      </c>
      <c r="F17" s="4">
        <v>80</v>
      </c>
      <c r="G17" s="4"/>
      <c r="H17" s="4"/>
      <c r="I17" s="4"/>
      <c r="J17" s="4"/>
      <c r="K17" s="4"/>
      <c r="L17" s="4"/>
      <c r="M17" s="4"/>
      <c r="N17" s="4"/>
    </row>
    <row r="18" spans="1:14" ht="30.75" thickBot="1" x14ac:dyDescent="0.3">
      <c r="A18" s="4">
        <v>16</v>
      </c>
      <c r="B18" s="82"/>
      <c r="C18" s="6" t="s">
        <v>241</v>
      </c>
      <c r="D18" s="2" t="s">
        <v>242</v>
      </c>
      <c r="E18" s="2" t="s">
        <v>140</v>
      </c>
      <c r="F18" s="4">
        <v>80</v>
      </c>
      <c r="G18" s="4"/>
      <c r="H18" s="4"/>
      <c r="I18" s="4"/>
      <c r="J18" s="4"/>
      <c r="K18" s="4"/>
      <c r="L18" s="4"/>
      <c r="M18" s="4"/>
      <c r="N18" s="4"/>
    </row>
    <row r="19" spans="1:14" ht="15.75" thickBot="1" x14ac:dyDescent="0.3">
      <c r="A19" s="4">
        <v>17</v>
      </c>
      <c r="B19" s="82"/>
      <c r="C19" s="6" t="s">
        <v>243</v>
      </c>
      <c r="D19" s="2" t="s">
        <v>244</v>
      </c>
      <c r="E19" s="2" t="s">
        <v>121</v>
      </c>
      <c r="F19" s="4">
        <v>50</v>
      </c>
      <c r="G19" s="4"/>
      <c r="H19" s="4"/>
      <c r="I19" s="4"/>
      <c r="J19" s="4"/>
      <c r="K19" s="4"/>
      <c r="L19" s="4"/>
      <c r="M19" s="4"/>
      <c r="N19" s="4"/>
    </row>
    <row r="20" spans="1:14" ht="15.75" thickBot="1" x14ac:dyDescent="0.3">
      <c r="A20" s="4"/>
      <c r="B20" s="82"/>
      <c r="C20" s="6" t="s">
        <v>169</v>
      </c>
      <c r="D20" s="2" t="s">
        <v>296</v>
      </c>
      <c r="E20" s="2" t="s">
        <v>93</v>
      </c>
      <c r="F20" s="4">
        <v>30</v>
      </c>
      <c r="G20" s="4"/>
      <c r="H20" s="4"/>
      <c r="I20" s="4"/>
      <c r="J20" s="4"/>
      <c r="K20" s="4"/>
      <c r="L20" s="4"/>
      <c r="M20" s="4"/>
      <c r="N20" s="4"/>
    </row>
    <row r="21" spans="1:14" ht="15.75" thickBot="1" x14ac:dyDescent="0.3">
      <c r="A21" s="4"/>
      <c r="B21" s="82"/>
    </row>
    <row r="22" spans="1:14" ht="15.75" thickBot="1" x14ac:dyDescent="0.3">
      <c r="A22" s="4"/>
      <c r="B22" s="82"/>
    </row>
    <row r="23" spans="1:14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58B4-F73D-41C2-8CD1-198C576535D4}">
  <dimension ref="A1:N23"/>
  <sheetViews>
    <sheetView topLeftCell="C7" workbookViewId="0">
      <selection activeCell="P17" sqref="P17"/>
    </sheetView>
  </sheetViews>
  <sheetFormatPr baseColWidth="10" defaultRowHeight="15" x14ac:dyDescent="0.25"/>
  <cols>
    <col min="1" max="1" width="3.85546875" customWidth="1"/>
    <col min="3" max="3" width="24.285156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198</v>
      </c>
      <c r="C3" s="3" t="s">
        <v>297</v>
      </c>
      <c r="D3" s="1" t="s">
        <v>200</v>
      </c>
      <c r="E3" s="1" t="s">
        <v>82</v>
      </c>
      <c r="F3" s="4">
        <v>40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196</v>
      </c>
      <c r="D4" s="2" t="s">
        <v>201</v>
      </c>
      <c r="E4" s="2" t="s">
        <v>82</v>
      </c>
      <c r="F4" s="4">
        <v>40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197</v>
      </c>
      <c r="D5" s="2" t="s">
        <v>202</v>
      </c>
      <c r="E5" s="2" t="s">
        <v>82</v>
      </c>
      <c r="F5" s="4">
        <v>40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197</v>
      </c>
      <c r="D6" s="2" t="s">
        <v>203</v>
      </c>
      <c r="E6" s="2" t="s">
        <v>82</v>
      </c>
      <c r="F6" s="4">
        <v>40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196</v>
      </c>
      <c r="D7" s="2" t="s">
        <v>204</v>
      </c>
      <c r="E7" s="2" t="s">
        <v>82</v>
      </c>
      <c r="F7" s="4">
        <v>40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196</v>
      </c>
      <c r="D8" s="2" t="s">
        <v>205</v>
      </c>
      <c r="E8" s="2" t="s">
        <v>82</v>
      </c>
      <c r="F8" s="4">
        <v>40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298</v>
      </c>
      <c r="D9" s="2" t="s">
        <v>205</v>
      </c>
      <c r="E9" s="2" t="s">
        <v>82</v>
      </c>
      <c r="F9" s="4">
        <v>40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182</v>
      </c>
      <c r="D10" s="2" t="s">
        <v>205</v>
      </c>
      <c r="E10" s="2" t="s">
        <v>82</v>
      </c>
      <c r="F10" s="4">
        <v>40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182</v>
      </c>
      <c r="D11" s="2" t="s">
        <v>204</v>
      </c>
      <c r="E11" s="2" t="s">
        <v>82</v>
      </c>
      <c r="F11" s="4">
        <v>40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299</v>
      </c>
      <c r="D12" s="2" t="s">
        <v>204</v>
      </c>
      <c r="E12" s="2" t="s">
        <v>93</v>
      </c>
      <c r="F12" s="4">
        <v>20</v>
      </c>
      <c r="G12" s="4"/>
      <c r="H12" s="4"/>
      <c r="I12" s="4"/>
      <c r="J12" s="4"/>
      <c r="K12" s="4"/>
      <c r="L12" s="4"/>
      <c r="M12" s="4"/>
      <c r="N12" s="4"/>
    </row>
    <row r="13" spans="1:14" ht="15.75" thickBot="1" x14ac:dyDescent="0.3">
      <c r="A13" s="4">
        <v>11</v>
      </c>
      <c r="B13" s="82"/>
      <c r="C13" s="6" t="s">
        <v>297</v>
      </c>
      <c r="D13" s="2" t="s">
        <v>200</v>
      </c>
      <c r="E13" s="2" t="s">
        <v>82</v>
      </c>
      <c r="F13" s="4">
        <v>40</v>
      </c>
      <c r="G13" s="4"/>
      <c r="H13" s="4"/>
      <c r="I13" s="4"/>
      <c r="J13" s="4"/>
      <c r="K13" s="4"/>
      <c r="L13" s="4"/>
      <c r="M13" s="4"/>
      <c r="N13" s="4"/>
    </row>
    <row r="14" spans="1:14" ht="15.75" thickBot="1" x14ac:dyDescent="0.3">
      <c r="A14" s="4">
        <v>12</v>
      </c>
      <c r="B14" s="82"/>
      <c r="C14" s="6" t="s">
        <v>239</v>
      </c>
      <c r="D14" s="22" t="s">
        <v>240</v>
      </c>
      <c r="E14" s="2" t="s">
        <v>265</v>
      </c>
      <c r="F14" s="4">
        <v>100</v>
      </c>
      <c r="G14" s="4"/>
      <c r="H14" s="4"/>
      <c r="I14" s="4"/>
      <c r="J14" s="4"/>
      <c r="K14" s="4"/>
      <c r="L14" s="4"/>
      <c r="M14" s="4"/>
      <c r="N14" s="4"/>
    </row>
    <row r="15" spans="1:14" ht="15.75" thickBot="1" x14ac:dyDescent="0.3">
      <c r="A15" s="4">
        <v>13</v>
      </c>
      <c r="B15" s="82"/>
      <c r="C15" s="6" t="s">
        <v>238</v>
      </c>
      <c r="D15" s="2" t="s">
        <v>240</v>
      </c>
      <c r="E15" s="2" t="s">
        <v>265</v>
      </c>
      <c r="F15" s="4">
        <v>100</v>
      </c>
      <c r="G15" s="4"/>
      <c r="H15" s="4"/>
      <c r="I15" s="4"/>
      <c r="J15" s="4"/>
      <c r="K15" s="4"/>
      <c r="L15" s="4"/>
      <c r="M15" s="4"/>
      <c r="N15" s="4"/>
    </row>
    <row r="16" spans="1:14" ht="15.75" thickBot="1" x14ac:dyDescent="0.3">
      <c r="A16" s="4">
        <v>14</v>
      </c>
      <c r="B16" s="82"/>
      <c r="C16" s="6" t="s">
        <v>65</v>
      </c>
      <c r="D16" s="2">
        <v>8</v>
      </c>
      <c r="E16" s="2" t="s">
        <v>70</v>
      </c>
      <c r="F16" s="4">
        <v>20</v>
      </c>
      <c r="G16" s="4"/>
      <c r="H16" s="4"/>
      <c r="I16" s="4"/>
      <c r="J16" s="4"/>
      <c r="K16" s="4"/>
      <c r="L16" s="4"/>
      <c r="M16" s="4"/>
      <c r="N16" s="4"/>
    </row>
    <row r="17" spans="1:2" ht="15.75" thickBot="1" x14ac:dyDescent="0.3">
      <c r="A17" s="4">
        <v>15</v>
      </c>
      <c r="B17" s="82"/>
    </row>
    <row r="18" spans="1:2" ht="15.75" thickBot="1" x14ac:dyDescent="0.3">
      <c r="A18" s="4">
        <v>16</v>
      </c>
      <c r="B18" s="82"/>
    </row>
    <row r="19" spans="1:2" ht="15.75" thickBot="1" x14ac:dyDescent="0.3">
      <c r="A19" s="4">
        <v>17</v>
      </c>
      <c r="B19" s="82"/>
    </row>
    <row r="20" spans="1:2" ht="15.75" thickBot="1" x14ac:dyDescent="0.3">
      <c r="A20" s="4"/>
      <c r="B20" s="82"/>
    </row>
    <row r="21" spans="1:2" ht="15.75" thickBot="1" x14ac:dyDescent="0.3">
      <c r="A21" s="4"/>
      <c r="B21" s="82"/>
    </row>
    <row r="22" spans="1:2" ht="15.75" thickBot="1" x14ac:dyDescent="0.3">
      <c r="A22" s="4"/>
      <c r="B22" s="82"/>
    </row>
    <row r="23" spans="1:2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3B99-384D-4628-BE2B-4C2B5C699677}">
  <dimension ref="A1:N23"/>
  <sheetViews>
    <sheetView topLeftCell="A7" workbookViewId="0">
      <selection activeCell="P21" sqref="P21"/>
    </sheetView>
  </sheetViews>
  <sheetFormatPr baseColWidth="10" defaultRowHeight="15" x14ac:dyDescent="0.25"/>
  <cols>
    <col min="3" max="3" width="29" customWidth="1"/>
    <col min="4" max="4" width="9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210</v>
      </c>
      <c r="C3" s="3" t="s">
        <v>199</v>
      </c>
      <c r="D3" s="1" t="s">
        <v>206</v>
      </c>
      <c r="E3" s="1" t="s">
        <v>82</v>
      </c>
      <c r="F3" s="4">
        <v>40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261</v>
      </c>
      <c r="D4" s="2" t="s">
        <v>207</v>
      </c>
      <c r="E4" s="2" t="s">
        <v>70</v>
      </c>
      <c r="F4" s="4">
        <v>20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255</v>
      </c>
      <c r="D5" s="2" t="s">
        <v>207</v>
      </c>
      <c r="E5" s="2" t="s">
        <v>70</v>
      </c>
      <c r="F5" s="4">
        <v>20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259</v>
      </c>
      <c r="D6" s="2" t="s">
        <v>208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262</v>
      </c>
      <c r="D7" s="2" t="s">
        <v>208</v>
      </c>
      <c r="E7" s="2" t="s">
        <v>82</v>
      </c>
      <c r="F7" s="4">
        <v>40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256</v>
      </c>
      <c r="D8" s="2" t="s">
        <v>207</v>
      </c>
      <c r="E8" s="2" t="s">
        <v>70</v>
      </c>
      <c r="F8" s="4">
        <v>20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263</v>
      </c>
      <c r="D9" s="2" t="s">
        <v>207</v>
      </c>
      <c r="E9" s="2" t="s">
        <v>70</v>
      </c>
      <c r="F9" s="4">
        <v>20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263</v>
      </c>
      <c r="D10" s="2" t="s">
        <v>208</v>
      </c>
      <c r="E10" s="2" t="s">
        <v>70</v>
      </c>
      <c r="F10" s="4">
        <v>20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262</v>
      </c>
      <c r="D11" s="2" t="s">
        <v>209</v>
      </c>
      <c r="E11" s="2" t="s">
        <v>82</v>
      </c>
      <c r="F11" s="4">
        <v>40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259</v>
      </c>
      <c r="D12" s="2" t="s">
        <v>209</v>
      </c>
      <c r="E12" s="2" t="s">
        <v>70</v>
      </c>
      <c r="F12" s="4">
        <v>20</v>
      </c>
      <c r="G12" s="4"/>
      <c r="H12" s="4"/>
      <c r="I12" s="4"/>
      <c r="J12" s="4"/>
      <c r="K12" s="4"/>
      <c r="L12" s="4"/>
      <c r="M12" s="4"/>
      <c r="N12" s="4"/>
    </row>
    <row r="13" spans="1:14" ht="15.75" thickBot="1" x14ac:dyDescent="0.3">
      <c r="A13" s="4">
        <v>11</v>
      </c>
      <c r="B13" s="82"/>
      <c r="C13" s="19" t="s">
        <v>264</v>
      </c>
      <c r="D13" s="14" t="s">
        <v>245</v>
      </c>
      <c r="E13" s="14" t="s">
        <v>70</v>
      </c>
      <c r="F13" s="20">
        <v>20</v>
      </c>
      <c r="G13" s="20"/>
      <c r="H13" s="20"/>
      <c r="I13" s="20"/>
      <c r="J13" s="20"/>
      <c r="K13" s="20"/>
      <c r="L13" s="20"/>
      <c r="M13" s="20"/>
      <c r="N13" s="20"/>
    </row>
    <row r="14" spans="1:14" ht="15.75" thickBot="1" x14ac:dyDescent="0.3">
      <c r="A14" s="4">
        <v>12</v>
      </c>
      <c r="B14" s="84"/>
      <c r="C14" s="24" t="s">
        <v>256</v>
      </c>
      <c r="D14" s="25" t="s">
        <v>246</v>
      </c>
      <c r="E14" s="25" t="s">
        <v>70</v>
      </c>
      <c r="F14" s="26">
        <v>20</v>
      </c>
      <c r="G14" s="26"/>
      <c r="H14" s="26"/>
      <c r="I14" s="26"/>
      <c r="J14" s="26"/>
      <c r="K14" s="26"/>
      <c r="L14" s="26"/>
      <c r="M14" s="26"/>
      <c r="N14" s="27"/>
    </row>
    <row r="15" spans="1:14" ht="15.75" thickBot="1" x14ac:dyDescent="0.3">
      <c r="A15" s="4">
        <v>13</v>
      </c>
      <c r="B15" s="84"/>
      <c r="C15" s="28" t="s">
        <v>251</v>
      </c>
      <c r="D15" s="23" t="s">
        <v>209</v>
      </c>
      <c r="E15" s="23" t="s">
        <v>82</v>
      </c>
      <c r="F15" s="15">
        <v>40</v>
      </c>
      <c r="G15" s="15"/>
      <c r="H15" s="15"/>
      <c r="I15" s="15"/>
      <c r="J15" s="15"/>
      <c r="K15" s="15"/>
      <c r="L15" s="15"/>
      <c r="M15" s="15"/>
      <c r="N15" s="29"/>
    </row>
    <row r="16" spans="1:14" ht="15.75" thickBot="1" x14ac:dyDescent="0.3">
      <c r="A16" s="4">
        <v>14</v>
      </c>
      <c r="B16" s="84"/>
      <c r="C16" s="28" t="s">
        <v>251</v>
      </c>
      <c r="D16" s="23" t="s">
        <v>208</v>
      </c>
      <c r="E16" s="23" t="s">
        <v>82</v>
      </c>
      <c r="F16" s="15">
        <v>40</v>
      </c>
      <c r="G16" s="15"/>
      <c r="H16" s="15"/>
      <c r="I16" s="15"/>
      <c r="J16" s="15"/>
      <c r="K16" s="15"/>
      <c r="L16" s="15"/>
      <c r="M16" s="15"/>
      <c r="N16" s="29"/>
    </row>
    <row r="17" spans="1:14" ht="15.75" thickBot="1" x14ac:dyDescent="0.3">
      <c r="A17" s="4">
        <v>15</v>
      </c>
      <c r="B17" s="84"/>
      <c r="C17" s="28" t="s">
        <v>255</v>
      </c>
      <c r="D17" s="23" t="s">
        <v>248</v>
      </c>
      <c r="E17" s="23" t="s">
        <v>70</v>
      </c>
      <c r="F17" s="15">
        <v>20</v>
      </c>
      <c r="G17" s="15"/>
      <c r="H17" s="15"/>
      <c r="I17" s="15"/>
      <c r="J17" s="15"/>
      <c r="K17" s="15"/>
      <c r="L17" s="15"/>
      <c r="M17" s="15"/>
      <c r="N17" s="29"/>
    </row>
    <row r="18" spans="1:14" ht="15.75" thickBot="1" x14ac:dyDescent="0.3">
      <c r="A18" s="4">
        <v>16</v>
      </c>
      <c r="B18" s="84"/>
      <c r="C18" s="28" t="s">
        <v>261</v>
      </c>
      <c r="D18" s="23" t="s">
        <v>248</v>
      </c>
      <c r="E18" s="23" t="s">
        <v>70</v>
      </c>
      <c r="F18" s="15">
        <v>20</v>
      </c>
      <c r="G18" s="15"/>
      <c r="H18" s="15"/>
      <c r="I18" s="15"/>
      <c r="J18" s="15"/>
      <c r="K18" s="15"/>
      <c r="L18" s="15"/>
      <c r="M18" s="15"/>
      <c r="N18" s="29"/>
    </row>
    <row r="19" spans="1:14" ht="15.75" thickBot="1" x14ac:dyDescent="0.3">
      <c r="A19" s="4">
        <v>17</v>
      </c>
      <c r="B19" s="84"/>
      <c r="C19" s="28" t="s">
        <v>199</v>
      </c>
      <c r="D19" s="23" t="s">
        <v>246</v>
      </c>
      <c r="E19" s="23" t="s">
        <v>82</v>
      </c>
      <c r="F19" s="15">
        <v>40</v>
      </c>
      <c r="G19" s="15"/>
      <c r="H19" s="15"/>
      <c r="I19" s="15"/>
      <c r="J19" s="15"/>
      <c r="K19" s="15"/>
      <c r="L19" s="15"/>
      <c r="M19" s="15"/>
      <c r="N19" s="29"/>
    </row>
    <row r="20" spans="1:14" ht="15.75" thickBot="1" x14ac:dyDescent="0.3">
      <c r="A20" s="4"/>
      <c r="B20" s="84"/>
      <c r="C20" s="28" t="s">
        <v>253</v>
      </c>
      <c r="D20" s="23" t="s">
        <v>248</v>
      </c>
      <c r="E20" s="15" t="s">
        <v>265</v>
      </c>
      <c r="F20" s="15">
        <v>100</v>
      </c>
      <c r="G20" s="15"/>
      <c r="H20" s="15"/>
      <c r="I20" s="15"/>
      <c r="J20" s="15"/>
      <c r="K20" s="15"/>
      <c r="L20" s="15"/>
      <c r="M20" s="15"/>
      <c r="N20" s="29"/>
    </row>
    <row r="21" spans="1:14" ht="15.75" thickBot="1" x14ac:dyDescent="0.3">
      <c r="A21" s="4"/>
      <c r="B21" s="84"/>
      <c r="C21" s="30" t="s">
        <v>253</v>
      </c>
      <c r="D21" s="31" t="s">
        <v>246</v>
      </c>
      <c r="E21" s="31" t="s">
        <v>265</v>
      </c>
      <c r="F21" s="32">
        <v>100</v>
      </c>
      <c r="G21" s="32"/>
      <c r="H21" s="32"/>
      <c r="I21" s="32"/>
      <c r="J21" s="32"/>
      <c r="K21" s="32"/>
      <c r="L21" s="32"/>
      <c r="M21" s="32"/>
      <c r="N21" s="33"/>
    </row>
    <row r="22" spans="1:14" ht="15.75" thickBot="1" x14ac:dyDescent="0.3">
      <c r="A22" s="4"/>
      <c r="B22" s="82"/>
    </row>
    <row r="23" spans="1:14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53D3-F9FA-456D-966B-52C3918C0682}">
  <dimension ref="A1:N23"/>
  <sheetViews>
    <sheetView topLeftCell="A3" workbookViewId="0">
      <selection activeCell="Q12" sqref="Q12"/>
    </sheetView>
  </sheetViews>
  <sheetFormatPr baseColWidth="10" defaultRowHeight="15" x14ac:dyDescent="0.25"/>
  <cols>
    <col min="1" max="1" width="4.5703125" customWidth="1"/>
    <col min="3" max="3" width="33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211</v>
      </c>
      <c r="C3" s="3" t="s">
        <v>250</v>
      </c>
      <c r="D3" s="1" t="s">
        <v>206</v>
      </c>
      <c r="E3" s="1" t="s">
        <v>70</v>
      </c>
      <c r="F3" s="4">
        <v>20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251</v>
      </c>
      <c r="D4" s="2" t="s">
        <v>206</v>
      </c>
      <c r="E4" s="2" t="s">
        <v>70</v>
      </c>
      <c r="F4" s="4">
        <v>20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107</v>
      </c>
      <c r="D5" s="2" t="s">
        <v>212</v>
      </c>
      <c r="E5" s="2" t="s">
        <v>70</v>
      </c>
      <c r="F5" s="4">
        <v>20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252</v>
      </c>
      <c r="D6" s="2" t="s">
        <v>208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199</v>
      </c>
      <c r="D7" s="2" t="s">
        <v>208</v>
      </c>
      <c r="E7" s="2" t="s">
        <v>82</v>
      </c>
      <c r="F7" s="4">
        <v>40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253</v>
      </c>
      <c r="D8" s="2" t="s">
        <v>208</v>
      </c>
      <c r="E8" s="2" t="s">
        <v>82</v>
      </c>
      <c r="F8" s="4">
        <v>40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254</v>
      </c>
      <c r="D9" s="2" t="s">
        <v>209</v>
      </c>
      <c r="E9" s="2" t="s">
        <v>82</v>
      </c>
      <c r="F9" s="4">
        <v>40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253</v>
      </c>
      <c r="D10" s="2" t="s">
        <v>209</v>
      </c>
      <c r="E10" s="2" t="s">
        <v>82</v>
      </c>
      <c r="F10" s="4">
        <v>40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261</v>
      </c>
      <c r="D11" s="2" t="s">
        <v>209</v>
      </c>
      <c r="E11" s="2" t="s">
        <v>70</v>
      </c>
      <c r="F11" s="4">
        <v>20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255</v>
      </c>
      <c r="D12" s="2" t="s">
        <v>209</v>
      </c>
      <c r="E12" s="2" t="s">
        <v>70</v>
      </c>
      <c r="F12" s="4">
        <v>20</v>
      </c>
      <c r="G12" s="4"/>
      <c r="H12" s="4"/>
      <c r="I12" s="4"/>
      <c r="J12" s="4"/>
      <c r="K12" s="4"/>
      <c r="L12" s="4"/>
      <c r="M12" s="4"/>
      <c r="N12" s="4"/>
    </row>
    <row r="13" spans="1:14" ht="15.75" thickBot="1" x14ac:dyDescent="0.3">
      <c r="A13" s="4">
        <v>11</v>
      </c>
      <c r="B13" s="82"/>
      <c r="C13" s="6" t="s">
        <v>256</v>
      </c>
      <c r="D13" s="2" t="s">
        <v>209</v>
      </c>
      <c r="E13" s="2" t="s">
        <v>82</v>
      </c>
      <c r="F13" s="4">
        <v>40</v>
      </c>
      <c r="G13" s="4"/>
      <c r="H13" s="4"/>
      <c r="I13" s="4"/>
      <c r="J13" s="4"/>
      <c r="K13" s="4"/>
      <c r="L13" s="4"/>
      <c r="M13" s="4"/>
      <c r="N13" s="4"/>
    </row>
    <row r="14" spans="1:14" ht="15.75" thickBot="1" x14ac:dyDescent="0.3">
      <c r="A14" s="4">
        <v>12</v>
      </c>
      <c r="B14" s="82"/>
      <c r="C14" s="6" t="s">
        <v>254</v>
      </c>
      <c r="D14" s="2" t="s">
        <v>246</v>
      </c>
      <c r="E14" s="2" t="s">
        <v>70</v>
      </c>
      <c r="F14" s="4">
        <v>20</v>
      </c>
      <c r="G14" s="4"/>
      <c r="H14" s="4"/>
      <c r="I14" s="4"/>
      <c r="J14" s="4"/>
      <c r="K14" s="4"/>
      <c r="L14" s="4"/>
      <c r="M14" s="4"/>
      <c r="N14" s="4"/>
    </row>
    <row r="15" spans="1:14" ht="15.75" thickBot="1" x14ac:dyDescent="0.3">
      <c r="A15" s="4">
        <v>13</v>
      </c>
      <c r="B15" s="82"/>
      <c r="C15" s="6" t="s">
        <v>254</v>
      </c>
      <c r="D15" s="2" t="s">
        <v>247</v>
      </c>
      <c r="E15" s="2" t="s">
        <v>82</v>
      </c>
      <c r="F15" s="4">
        <v>40</v>
      </c>
      <c r="G15" s="4"/>
      <c r="H15" s="4"/>
      <c r="I15" s="4"/>
      <c r="J15" s="4"/>
      <c r="K15" s="4"/>
      <c r="L15" s="4"/>
      <c r="M15" s="4"/>
      <c r="N15" s="4"/>
    </row>
    <row r="16" spans="1:14" ht="15.75" thickBot="1" x14ac:dyDescent="0.3">
      <c r="A16" s="4">
        <v>14</v>
      </c>
      <c r="B16" s="82"/>
      <c r="C16" s="6" t="s">
        <v>251</v>
      </c>
      <c r="D16" s="2" t="s">
        <v>246</v>
      </c>
      <c r="E16" s="2" t="s">
        <v>70</v>
      </c>
      <c r="F16" s="4">
        <v>20</v>
      </c>
      <c r="G16" s="4"/>
      <c r="H16" s="4"/>
      <c r="I16" s="4"/>
      <c r="J16" s="4"/>
      <c r="K16" s="4"/>
      <c r="L16" s="4"/>
      <c r="M16" s="4"/>
      <c r="N16" s="4"/>
    </row>
    <row r="17" spans="1:14" ht="15.75" thickBot="1" x14ac:dyDescent="0.3">
      <c r="A17" s="4">
        <v>15</v>
      </c>
      <c r="B17" s="82"/>
      <c r="C17" s="6" t="s">
        <v>257</v>
      </c>
      <c r="D17" s="2" t="s">
        <v>247</v>
      </c>
      <c r="E17" s="2" t="s">
        <v>70</v>
      </c>
      <c r="F17" s="4">
        <v>20</v>
      </c>
      <c r="G17" s="4"/>
      <c r="H17" s="4"/>
      <c r="I17" s="4"/>
      <c r="J17" s="4"/>
      <c r="K17" s="4"/>
      <c r="L17" s="4"/>
      <c r="M17" s="4"/>
      <c r="N17" s="4"/>
    </row>
    <row r="18" spans="1:14" ht="15.75" thickBot="1" x14ac:dyDescent="0.3">
      <c r="A18" s="4">
        <v>16</v>
      </c>
      <c r="B18" s="82"/>
      <c r="C18" s="6" t="s">
        <v>258</v>
      </c>
      <c r="D18" s="2" t="s">
        <v>247</v>
      </c>
      <c r="E18" s="2" t="s">
        <v>70</v>
      </c>
      <c r="F18" s="4">
        <v>20</v>
      </c>
      <c r="G18" s="4"/>
      <c r="H18" s="4"/>
      <c r="I18" s="4"/>
      <c r="J18" s="4"/>
      <c r="K18" s="4"/>
      <c r="L18" s="4"/>
      <c r="M18" s="4"/>
      <c r="N18" s="4"/>
    </row>
    <row r="19" spans="1:14" ht="15.75" thickBot="1" x14ac:dyDescent="0.3">
      <c r="A19" s="4">
        <v>17</v>
      </c>
      <c r="B19" s="82"/>
      <c r="C19" s="6" t="s">
        <v>259</v>
      </c>
      <c r="D19" s="2" t="s">
        <v>248</v>
      </c>
      <c r="E19" s="2" t="s">
        <v>70</v>
      </c>
      <c r="F19" s="4">
        <v>20</v>
      </c>
      <c r="G19" s="4"/>
      <c r="H19" s="4"/>
      <c r="I19" s="4"/>
      <c r="J19" s="4"/>
      <c r="K19" s="4"/>
      <c r="L19" s="4"/>
      <c r="M19" s="4"/>
      <c r="N19" s="4"/>
    </row>
    <row r="20" spans="1:14" ht="15.75" thickBot="1" x14ac:dyDescent="0.3">
      <c r="A20" s="4"/>
      <c r="B20" s="82"/>
      <c r="C20" s="6" t="s">
        <v>259</v>
      </c>
      <c r="D20" s="2" t="s">
        <v>246</v>
      </c>
      <c r="E20" s="2" t="s">
        <v>70</v>
      </c>
      <c r="F20" s="4">
        <v>20</v>
      </c>
      <c r="G20" s="4"/>
      <c r="H20" s="4"/>
      <c r="I20" s="4"/>
      <c r="J20" s="4"/>
      <c r="K20" s="4"/>
      <c r="L20" s="4"/>
      <c r="M20" s="4"/>
      <c r="N20" s="4"/>
    </row>
    <row r="21" spans="1:14" ht="15.75" thickBot="1" x14ac:dyDescent="0.3">
      <c r="A21" s="4"/>
      <c r="B21" s="82"/>
      <c r="C21" s="6" t="s">
        <v>199</v>
      </c>
      <c r="D21" s="2" t="s">
        <v>245</v>
      </c>
      <c r="E21" s="2" t="s">
        <v>82</v>
      </c>
      <c r="F21" s="4">
        <v>40</v>
      </c>
      <c r="G21" s="4"/>
      <c r="H21" s="4"/>
      <c r="I21" s="4"/>
      <c r="J21" s="4"/>
      <c r="K21" s="4"/>
      <c r="L21" s="4"/>
      <c r="M21" s="4"/>
      <c r="N21" s="4"/>
    </row>
    <row r="22" spans="1:14" ht="15.75" thickBot="1" x14ac:dyDescent="0.3">
      <c r="A22" s="4"/>
      <c r="B22" s="82"/>
      <c r="C22" s="6" t="s">
        <v>260</v>
      </c>
      <c r="D22" s="2" t="s">
        <v>248</v>
      </c>
      <c r="E22" s="2" t="s">
        <v>82</v>
      </c>
      <c r="F22" s="4">
        <v>40</v>
      </c>
      <c r="G22" s="4"/>
      <c r="H22" s="4"/>
      <c r="I22" s="4"/>
      <c r="J22" s="4"/>
      <c r="K22" s="4"/>
      <c r="L22" s="4"/>
      <c r="M22" s="4"/>
      <c r="N22" s="4"/>
    </row>
    <row r="23" spans="1:14" ht="15.75" thickBot="1" x14ac:dyDescent="0.3">
      <c r="A23" s="4"/>
      <c r="B23" s="83"/>
      <c r="C23" s="6" t="s">
        <v>260</v>
      </c>
      <c r="D23" s="2" t="s">
        <v>246</v>
      </c>
      <c r="E23" s="2" t="s">
        <v>82</v>
      </c>
      <c r="F23" s="4">
        <v>40</v>
      </c>
      <c r="G23" s="4"/>
      <c r="H23" s="4"/>
      <c r="I23" s="4"/>
      <c r="J23" s="4"/>
      <c r="K23" s="4"/>
      <c r="L23" s="4"/>
      <c r="M23" s="4"/>
      <c r="N23" s="4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46F3-2CDC-4803-9C2F-F8B8CB05E579}">
  <dimension ref="A1:N23"/>
  <sheetViews>
    <sheetView workbookViewId="0">
      <selection activeCell="D12" sqref="D12"/>
    </sheetView>
  </sheetViews>
  <sheetFormatPr baseColWidth="10" defaultRowHeight="15" x14ac:dyDescent="0.25"/>
  <cols>
    <col min="3" max="3" width="34.5703125" customWidth="1"/>
    <col min="4" max="4" width="18.710937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213</v>
      </c>
      <c r="C3" s="3" t="s">
        <v>278</v>
      </c>
      <c r="D3" s="1" t="s">
        <v>215</v>
      </c>
      <c r="E3" s="1" t="s">
        <v>135</v>
      </c>
      <c r="F3" s="4">
        <v>60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279</v>
      </c>
      <c r="D4" s="2" t="s">
        <v>215</v>
      </c>
      <c r="E4" s="2" t="s">
        <v>70</v>
      </c>
      <c r="F4" s="4">
        <v>20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266</v>
      </c>
      <c r="D5" s="2" t="s">
        <v>215</v>
      </c>
      <c r="E5" s="2" t="s">
        <v>93</v>
      </c>
      <c r="F5" s="4">
        <v>30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214</v>
      </c>
      <c r="D6" s="2" t="s">
        <v>216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278</v>
      </c>
      <c r="D7" s="2" t="s">
        <v>217</v>
      </c>
      <c r="E7" s="2" t="s">
        <v>121</v>
      </c>
      <c r="F7" s="4">
        <v>40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116</v>
      </c>
      <c r="D8" s="2" t="s">
        <v>218</v>
      </c>
      <c r="E8" s="2" t="s">
        <v>70</v>
      </c>
      <c r="F8" s="4">
        <v>20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280</v>
      </c>
      <c r="D9" s="2" t="s">
        <v>218</v>
      </c>
      <c r="E9" s="2" t="s">
        <v>67</v>
      </c>
      <c r="F9" s="4">
        <v>10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277</v>
      </c>
      <c r="D10" s="2" t="s">
        <v>218</v>
      </c>
      <c r="E10" s="2" t="s">
        <v>70</v>
      </c>
      <c r="F10" s="4">
        <v>20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</row>
    <row r="12" spans="1:14" ht="15.75" thickBot="1" x14ac:dyDescent="0.3">
      <c r="A12" s="4">
        <v>10</v>
      </c>
      <c r="B12" s="82"/>
    </row>
    <row r="13" spans="1:14" ht="15.75" thickBot="1" x14ac:dyDescent="0.3">
      <c r="A13" s="4">
        <v>11</v>
      </c>
      <c r="B13" s="82"/>
    </row>
    <row r="14" spans="1:14" ht="15.75" thickBot="1" x14ac:dyDescent="0.3">
      <c r="A14" s="4">
        <v>12</v>
      </c>
      <c r="B14" s="82"/>
    </row>
    <row r="15" spans="1:14" ht="15.75" thickBot="1" x14ac:dyDescent="0.3">
      <c r="A15" s="4">
        <v>13</v>
      </c>
      <c r="B15" s="82"/>
    </row>
    <row r="16" spans="1:14" ht="15.75" thickBot="1" x14ac:dyDescent="0.3">
      <c r="A16" s="4">
        <v>14</v>
      </c>
      <c r="B16" s="82"/>
    </row>
    <row r="17" spans="1:13" ht="15.75" thickBot="1" x14ac:dyDescent="0.3">
      <c r="A17" s="4">
        <v>15</v>
      </c>
      <c r="B17" s="82"/>
    </row>
    <row r="18" spans="1:13" ht="15.75" thickBot="1" x14ac:dyDescent="0.3">
      <c r="A18" s="4">
        <v>16</v>
      </c>
      <c r="B18" s="82"/>
    </row>
    <row r="19" spans="1:13" ht="15.75" thickBot="1" x14ac:dyDescent="0.3">
      <c r="A19" s="4">
        <v>17</v>
      </c>
      <c r="B19" s="82"/>
    </row>
    <row r="20" spans="1:13" ht="15.75" thickBot="1" x14ac:dyDescent="0.3">
      <c r="A20" s="4"/>
      <c r="B20" s="82"/>
    </row>
    <row r="21" spans="1:13" ht="15.75" thickBot="1" x14ac:dyDescent="0.3">
      <c r="A21" s="4"/>
      <c r="B21" s="82"/>
    </row>
    <row r="22" spans="1:13" ht="15.75" thickBot="1" x14ac:dyDescent="0.3">
      <c r="A22" s="4"/>
      <c r="B22" s="82"/>
    </row>
    <row r="23" spans="1:13" ht="15.75" thickBot="1" x14ac:dyDescent="0.3">
      <c r="A23" s="4"/>
      <c r="B23" s="83"/>
      <c r="C23" s="6" t="s">
        <v>162</v>
      </c>
      <c r="D23" s="2" t="s">
        <v>163</v>
      </c>
      <c r="E23" s="2" t="s">
        <v>67</v>
      </c>
      <c r="F23" s="4"/>
      <c r="G23" s="4"/>
      <c r="H23" s="4"/>
      <c r="I23" s="4"/>
      <c r="J23" s="4"/>
      <c r="K23" s="4"/>
      <c r="L23" s="4"/>
      <c r="M23" s="4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4DC-7B62-4B54-B205-F1D47AE3BB74}">
  <dimension ref="A1:N23"/>
  <sheetViews>
    <sheetView workbookViewId="0">
      <selection activeCell="F3" sqref="F3"/>
    </sheetView>
  </sheetViews>
  <sheetFormatPr baseColWidth="10" defaultRowHeight="15" x14ac:dyDescent="0.25"/>
  <cols>
    <col min="1" max="1" width="4.5703125" customWidth="1"/>
    <col min="2" max="2" width="9.570312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220</v>
      </c>
      <c r="C3" s="3" t="s">
        <v>214</v>
      </c>
      <c r="D3" s="1" t="s">
        <v>215</v>
      </c>
      <c r="E3" s="1" t="s">
        <v>70</v>
      </c>
      <c r="F3" s="4">
        <v>20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221</v>
      </c>
      <c r="D4" s="2" t="s">
        <v>215</v>
      </c>
      <c r="E4" s="2" t="s">
        <v>70</v>
      </c>
      <c r="F4" s="4">
        <v>20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221</v>
      </c>
      <c r="D5" s="2" t="s">
        <v>216</v>
      </c>
      <c r="E5" s="2" t="s">
        <v>70</v>
      </c>
      <c r="F5" s="4">
        <v>20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222</v>
      </c>
      <c r="D6" s="2" t="s">
        <v>217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221</v>
      </c>
      <c r="D7" s="2" t="s">
        <v>217</v>
      </c>
      <c r="E7" s="2" t="s">
        <v>67</v>
      </c>
      <c r="F7" s="4">
        <v>10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221</v>
      </c>
      <c r="D8" s="2" t="s">
        <v>218</v>
      </c>
      <c r="E8" s="2" t="s">
        <v>67</v>
      </c>
      <c r="F8" s="4">
        <v>10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</row>
    <row r="10" spans="1:14" ht="15.75" thickBot="1" x14ac:dyDescent="0.3">
      <c r="A10" s="4">
        <v>8</v>
      </c>
      <c r="B10" s="82"/>
    </row>
    <row r="11" spans="1:14" ht="15.75" thickBot="1" x14ac:dyDescent="0.3">
      <c r="A11" s="4">
        <v>9</v>
      </c>
      <c r="B11" s="82"/>
    </row>
    <row r="12" spans="1:14" ht="15.75" thickBot="1" x14ac:dyDescent="0.3">
      <c r="A12" s="4">
        <v>10</v>
      </c>
      <c r="B12" s="82"/>
    </row>
    <row r="13" spans="1:14" ht="15.75" thickBot="1" x14ac:dyDescent="0.3">
      <c r="A13" s="4">
        <v>11</v>
      </c>
      <c r="B13" s="82"/>
    </row>
    <row r="14" spans="1:14" ht="15.75" thickBot="1" x14ac:dyDescent="0.3">
      <c r="A14" s="4">
        <v>12</v>
      </c>
      <c r="B14" s="82"/>
    </row>
    <row r="15" spans="1:14" ht="15.75" thickBot="1" x14ac:dyDescent="0.3">
      <c r="A15" s="4">
        <v>13</v>
      </c>
      <c r="B15" s="82"/>
    </row>
    <row r="16" spans="1:14" ht="15.75" thickBot="1" x14ac:dyDescent="0.3">
      <c r="A16" s="4">
        <v>14</v>
      </c>
      <c r="B16" s="82"/>
    </row>
    <row r="17" spans="1:2" ht="15.75" thickBot="1" x14ac:dyDescent="0.3">
      <c r="A17" s="4">
        <v>15</v>
      </c>
      <c r="B17" s="82"/>
    </row>
    <row r="18" spans="1:2" ht="15.75" thickBot="1" x14ac:dyDescent="0.3">
      <c r="A18" s="4">
        <v>16</v>
      </c>
      <c r="B18" s="82"/>
    </row>
    <row r="19" spans="1:2" ht="15.75" thickBot="1" x14ac:dyDescent="0.3">
      <c r="A19" s="4">
        <v>17</v>
      </c>
      <c r="B19" s="82"/>
    </row>
    <row r="20" spans="1:2" ht="15.75" thickBot="1" x14ac:dyDescent="0.3">
      <c r="A20" s="4"/>
      <c r="B20" s="82"/>
    </row>
    <row r="21" spans="1:2" ht="15.75" thickBot="1" x14ac:dyDescent="0.3">
      <c r="A21" s="4"/>
      <c r="B21" s="82"/>
    </row>
    <row r="22" spans="1:2" ht="15.75" thickBot="1" x14ac:dyDescent="0.3">
      <c r="A22" s="4"/>
      <c r="B22" s="82"/>
    </row>
    <row r="23" spans="1:2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2964-081C-45DA-B627-0A34ADDC6FF9}">
  <dimension ref="A1:N23"/>
  <sheetViews>
    <sheetView topLeftCell="A3" workbookViewId="0">
      <selection activeCell="I13" sqref="I13"/>
    </sheetView>
  </sheetViews>
  <sheetFormatPr baseColWidth="10" defaultRowHeight="15" x14ac:dyDescent="0.25"/>
  <cols>
    <col min="1" max="1" width="4.140625" customWidth="1"/>
    <col min="3" max="3" width="29.140625" customWidth="1"/>
    <col min="4" max="4" width="17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223</v>
      </c>
      <c r="C3" s="3" t="s">
        <v>266</v>
      </c>
      <c r="D3" s="1" t="s">
        <v>216</v>
      </c>
      <c r="E3" s="1" t="s">
        <v>93</v>
      </c>
      <c r="F3" s="4">
        <v>30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214</v>
      </c>
      <c r="D4" s="2" t="s">
        <v>217</v>
      </c>
      <c r="E4" s="2" t="s">
        <v>67</v>
      </c>
      <c r="F4" s="4">
        <v>10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267</v>
      </c>
      <c r="D5" s="2" t="s">
        <v>218</v>
      </c>
      <c r="E5" s="2" t="s">
        <v>70</v>
      </c>
      <c r="F5" s="4">
        <v>20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268</v>
      </c>
      <c r="D6" s="2" t="s">
        <v>217</v>
      </c>
      <c r="E6" s="2" t="s">
        <v>70</v>
      </c>
      <c r="F6" s="4">
        <v>20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269</v>
      </c>
      <c r="D7" s="2" t="s">
        <v>217</v>
      </c>
      <c r="E7" s="2" t="s">
        <v>67</v>
      </c>
      <c r="F7" s="4">
        <v>10</v>
      </c>
      <c r="G7" s="4"/>
      <c r="H7" s="4"/>
      <c r="I7" s="4"/>
      <c r="J7" s="4"/>
      <c r="K7" s="4"/>
      <c r="L7" s="4"/>
      <c r="M7" s="4"/>
      <c r="N7" s="4"/>
    </row>
    <row r="8" spans="1:14" ht="30.75" thickBot="1" x14ac:dyDescent="0.3">
      <c r="A8" s="4">
        <v>6</v>
      </c>
      <c r="B8" s="82"/>
      <c r="C8" s="6" t="s">
        <v>270</v>
      </c>
      <c r="D8" s="2" t="s">
        <v>224</v>
      </c>
      <c r="E8" s="2" t="s">
        <v>67</v>
      </c>
      <c r="F8" s="4">
        <v>10</v>
      </c>
      <c r="G8" s="4"/>
      <c r="H8" s="4"/>
      <c r="I8" s="4"/>
      <c r="J8" s="4"/>
      <c r="K8" s="4"/>
      <c r="L8" s="4"/>
      <c r="M8" s="4"/>
      <c r="N8" s="4"/>
    </row>
    <row r="9" spans="1:14" ht="30.75" thickBot="1" x14ac:dyDescent="0.3">
      <c r="A9" s="4">
        <v>7</v>
      </c>
      <c r="B9" s="82"/>
      <c r="C9" s="6" t="s">
        <v>270</v>
      </c>
      <c r="D9" s="2" t="s">
        <v>225</v>
      </c>
      <c r="E9" s="2" t="s">
        <v>67</v>
      </c>
      <c r="F9" s="4">
        <v>10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268</v>
      </c>
      <c r="D10" s="2" t="s">
        <v>226</v>
      </c>
      <c r="E10" s="2" t="s">
        <v>70</v>
      </c>
      <c r="F10" s="4">
        <v>20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271</v>
      </c>
      <c r="D11" s="2" t="s">
        <v>218</v>
      </c>
      <c r="E11" s="2" t="s">
        <v>82</v>
      </c>
      <c r="F11" s="4">
        <v>40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6" t="s">
        <v>272</v>
      </c>
      <c r="D12" s="2" t="s">
        <v>216</v>
      </c>
      <c r="E12" s="2" t="s">
        <v>135</v>
      </c>
      <c r="F12" s="4">
        <v>60</v>
      </c>
      <c r="G12" s="4"/>
      <c r="H12" s="4"/>
      <c r="I12" s="4"/>
      <c r="J12" s="4"/>
      <c r="K12" s="4"/>
      <c r="L12" s="4"/>
      <c r="M12" s="4"/>
      <c r="N12" s="4"/>
    </row>
    <row r="13" spans="1:14" ht="30.75" thickBot="1" x14ac:dyDescent="0.3">
      <c r="A13" s="4">
        <v>11</v>
      </c>
      <c r="B13" s="82"/>
      <c r="C13" s="6" t="s">
        <v>273</v>
      </c>
      <c r="D13" s="2" t="s">
        <v>217</v>
      </c>
      <c r="E13" s="2" t="s">
        <v>67</v>
      </c>
      <c r="F13" s="4">
        <v>10</v>
      </c>
      <c r="G13" s="4"/>
      <c r="H13" s="4"/>
      <c r="I13" s="4"/>
      <c r="J13" s="4"/>
      <c r="K13" s="4"/>
      <c r="L13" s="4"/>
      <c r="M13" s="4"/>
      <c r="N13" s="4"/>
    </row>
    <row r="14" spans="1:14" ht="15.75" thickBot="1" x14ac:dyDescent="0.3">
      <c r="A14" s="4">
        <v>12</v>
      </c>
      <c r="B14" s="82"/>
      <c r="C14" s="6" t="s">
        <v>269</v>
      </c>
      <c r="D14" s="2" t="s">
        <v>217</v>
      </c>
      <c r="E14" s="2" t="s">
        <v>67</v>
      </c>
      <c r="F14" s="4">
        <v>10</v>
      </c>
      <c r="G14" s="4"/>
      <c r="H14" s="4"/>
      <c r="I14" s="4"/>
      <c r="J14" s="4"/>
      <c r="K14" s="4"/>
      <c r="L14" s="4"/>
      <c r="M14" s="4"/>
      <c r="N14" s="4"/>
    </row>
    <row r="15" spans="1:14" ht="15.75" thickBot="1" x14ac:dyDescent="0.3">
      <c r="A15" s="4">
        <v>13</v>
      </c>
      <c r="B15" s="82"/>
      <c r="C15" s="34" t="s">
        <v>274</v>
      </c>
      <c r="D15" s="22" t="s">
        <v>275</v>
      </c>
      <c r="E15" s="22" t="s">
        <v>265</v>
      </c>
      <c r="F15" s="35">
        <v>100</v>
      </c>
    </row>
    <row r="16" spans="1:14" ht="15.75" thickBot="1" x14ac:dyDescent="0.3">
      <c r="A16" s="4">
        <v>14</v>
      </c>
      <c r="B16" s="82"/>
      <c r="C16" s="34" t="s">
        <v>274</v>
      </c>
      <c r="D16" s="22" t="s">
        <v>276</v>
      </c>
      <c r="E16" s="22" t="s">
        <v>265</v>
      </c>
      <c r="F16" s="35">
        <v>100</v>
      </c>
    </row>
    <row r="17" spans="1:2" ht="15.75" thickBot="1" x14ac:dyDescent="0.3">
      <c r="A17" s="4">
        <v>15</v>
      </c>
      <c r="B17" s="82"/>
    </row>
    <row r="18" spans="1:2" ht="15.75" thickBot="1" x14ac:dyDescent="0.3">
      <c r="A18" s="4">
        <v>16</v>
      </c>
      <c r="B18" s="82"/>
    </row>
    <row r="19" spans="1:2" ht="15.75" thickBot="1" x14ac:dyDescent="0.3">
      <c r="A19" s="4">
        <v>17</v>
      </c>
      <c r="B19" s="82"/>
    </row>
    <row r="20" spans="1:2" ht="15.75" thickBot="1" x14ac:dyDescent="0.3">
      <c r="A20" s="4"/>
      <c r="B20" s="82"/>
    </row>
    <row r="21" spans="1:2" ht="15.75" thickBot="1" x14ac:dyDescent="0.3">
      <c r="A21" s="4"/>
      <c r="B21" s="82"/>
    </row>
    <row r="22" spans="1:2" ht="15.75" thickBot="1" x14ac:dyDescent="0.3">
      <c r="A22" s="4"/>
      <c r="B22" s="82"/>
    </row>
    <row r="23" spans="1:2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89F-ED32-450C-A53C-EA78AD7AD09D}">
  <dimension ref="A1:N23"/>
  <sheetViews>
    <sheetView tabSelected="1" workbookViewId="0">
      <selection activeCell="D15" sqref="D15"/>
    </sheetView>
  </sheetViews>
  <sheetFormatPr baseColWidth="10" defaultRowHeight="15" x14ac:dyDescent="0.25"/>
  <cols>
    <col min="3" max="3" width="31.28515625" customWidth="1"/>
    <col min="4" max="4" width="17.85546875" customWidth="1"/>
    <col min="6" max="14" width="3.7109375" customWidth="1"/>
  </cols>
  <sheetData>
    <row r="1" spans="1:14" x14ac:dyDescent="0.25">
      <c r="A1" s="66" t="s">
        <v>63</v>
      </c>
      <c r="B1" s="66" t="s">
        <v>78</v>
      </c>
      <c r="C1" s="66" t="s">
        <v>1</v>
      </c>
      <c r="D1" s="66" t="s">
        <v>64</v>
      </c>
      <c r="E1" s="66" t="s">
        <v>80</v>
      </c>
      <c r="F1" s="68" t="s">
        <v>2</v>
      </c>
      <c r="G1" s="69"/>
      <c r="H1" s="69"/>
      <c r="I1" s="69"/>
      <c r="J1" s="69"/>
      <c r="K1" s="69"/>
      <c r="L1" s="69"/>
      <c r="M1" s="69"/>
      <c r="N1" s="70"/>
    </row>
    <row r="2" spans="1:14" ht="15.75" thickBot="1" x14ac:dyDescent="0.3">
      <c r="A2" s="80"/>
      <c r="B2" s="80"/>
      <c r="C2" s="80"/>
      <c r="D2" s="80"/>
      <c r="E2" s="80"/>
      <c r="F2" s="18" t="s">
        <v>22</v>
      </c>
      <c r="G2" s="18" t="s">
        <v>23</v>
      </c>
      <c r="H2" s="18" t="s">
        <v>79</v>
      </c>
      <c r="I2" s="18" t="s">
        <v>26</v>
      </c>
      <c r="J2" s="18" t="s">
        <v>24</v>
      </c>
      <c r="K2" s="18" t="s">
        <v>27</v>
      </c>
      <c r="L2" s="18" t="s">
        <v>79</v>
      </c>
      <c r="M2" s="18" t="s">
        <v>30</v>
      </c>
      <c r="N2" s="18" t="s">
        <v>33</v>
      </c>
    </row>
    <row r="3" spans="1:14" ht="15.75" thickBot="1" x14ac:dyDescent="0.3">
      <c r="A3" s="4">
        <v>1</v>
      </c>
      <c r="B3" s="81" t="s">
        <v>227</v>
      </c>
      <c r="C3" s="3" t="s">
        <v>149</v>
      </c>
      <c r="D3" s="1" t="s">
        <v>212</v>
      </c>
      <c r="E3" s="1" t="s">
        <v>67</v>
      </c>
      <c r="F3" s="4">
        <v>10</v>
      </c>
      <c r="G3" s="4"/>
      <c r="H3" s="4"/>
      <c r="I3" s="4"/>
      <c r="J3" s="4"/>
      <c r="K3" s="4"/>
      <c r="L3" s="4"/>
      <c r="M3" s="4"/>
      <c r="N3" s="4"/>
    </row>
    <row r="4" spans="1:14" ht="15.75" thickBot="1" x14ac:dyDescent="0.3">
      <c r="A4" s="4">
        <v>2</v>
      </c>
      <c r="B4" s="82"/>
      <c r="C4" s="6" t="s">
        <v>228</v>
      </c>
      <c r="D4" s="2" t="s">
        <v>229</v>
      </c>
      <c r="E4" s="2" t="s">
        <v>70</v>
      </c>
      <c r="F4" s="4">
        <v>20</v>
      </c>
      <c r="G4" s="4"/>
      <c r="H4" s="4"/>
      <c r="I4" s="4"/>
      <c r="J4" s="4"/>
      <c r="K4" s="4"/>
      <c r="L4" s="4"/>
      <c r="M4" s="4"/>
      <c r="N4" s="4"/>
    </row>
    <row r="5" spans="1:14" ht="15.75" thickBot="1" x14ac:dyDescent="0.3">
      <c r="A5" s="4">
        <v>3</v>
      </c>
      <c r="B5" s="82"/>
      <c r="C5" s="6" t="s">
        <v>281</v>
      </c>
      <c r="D5" s="2" t="s">
        <v>230</v>
      </c>
      <c r="E5" s="2" t="s">
        <v>82</v>
      </c>
      <c r="F5" s="4">
        <v>40</v>
      </c>
      <c r="G5" s="4"/>
      <c r="H5" s="4"/>
      <c r="I5" s="4"/>
      <c r="J5" s="4"/>
      <c r="K5" s="4"/>
      <c r="L5" s="4"/>
      <c r="M5" s="4"/>
      <c r="N5" s="4"/>
    </row>
    <row r="6" spans="1:14" ht="15.75" thickBot="1" x14ac:dyDescent="0.3">
      <c r="A6" s="4">
        <v>4</v>
      </c>
      <c r="B6" s="82"/>
      <c r="C6" s="6" t="s">
        <v>152</v>
      </c>
      <c r="D6" s="2" t="s">
        <v>216</v>
      </c>
      <c r="E6" s="2" t="s">
        <v>82</v>
      </c>
      <c r="F6" s="4">
        <v>40</v>
      </c>
      <c r="G6" s="4"/>
      <c r="H6" s="4"/>
      <c r="I6" s="4"/>
      <c r="J6" s="4"/>
      <c r="K6" s="4"/>
      <c r="L6" s="4"/>
      <c r="M6" s="4"/>
      <c r="N6" s="4"/>
    </row>
    <row r="7" spans="1:14" ht="15.75" thickBot="1" x14ac:dyDescent="0.3">
      <c r="A7" s="4">
        <v>5</v>
      </c>
      <c r="B7" s="82"/>
      <c r="C7" s="6" t="s">
        <v>281</v>
      </c>
      <c r="D7" s="2" t="s">
        <v>231</v>
      </c>
      <c r="E7" s="2" t="s">
        <v>82</v>
      </c>
      <c r="F7" s="4">
        <v>40</v>
      </c>
      <c r="G7" s="4"/>
      <c r="H7" s="4"/>
      <c r="I7" s="4"/>
      <c r="J7" s="4"/>
      <c r="K7" s="4"/>
      <c r="L7" s="4"/>
      <c r="M7" s="4"/>
      <c r="N7" s="4"/>
    </row>
    <row r="8" spans="1:14" ht="15.75" thickBot="1" x14ac:dyDescent="0.3">
      <c r="A8" s="4">
        <v>6</v>
      </c>
      <c r="B8" s="82"/>
      <c r="C8" s="6" t="s">
        <v>158</v>
      </c>
      <c r="D8" s="2" t="s">
        <v>232</v>
      </c>
      <c r="E8" s="2" t="s">
        <v>282</v>
      </c>
      <c r="F8" s="4">
        <v>10</v>
      </c>
      <c r="G8" s="4"/>
      <c r="H8" s="4"/>
      <c r="I8" s="4"/>
      <c r="J8" s="4"/>
      <c r="K8" s="4"/>
      <c r="L8" s="4"/>
      <c r="M8" s="4"/>
      <c r="N8" s="4"/>
    </row>
    <row r="9" spans="1:14" ht="15.75" thickBot="1" x14ac:dyDescent="0.3">
      <c r="A9" s="4">
        <v>7</v>
      </c>
      <c r="B9" s="82"/>
      <c r="C9" s="6" t="s">
        <v>152</v>
      </c>
      <c r="D9" s="2" t="s">
        <v>217</v>
      </c>
      <c r="E9" s="2" t="s">
        <v>82</v>
      </c>
      <c r="F9" s="4">
        <v>40</v>
      </c>
      <c r="G9" s="4"/>
      <c r="H9" s="4"/>
      <c r="I9" s="4"/>
      <c r="J9" s="4"/>
      <c r="K9" s="4"/>
      <c r="L9" s="4"/>
      <c r="M9" s="4"/>
      <c r="N9" s="4"/>
    </row>
    <row r="10" spans="1:14" ht="15.75" thickBot="1" x14ac:dyDescent="0.3">
      <c r="A10" s="4">
        <v>8</v>
      </c>
      <c r="B10" s="82"/>
      <c r="C10" s="6" t="s">
        <v>281</v>
      </c>
      <c r="D10" s="2" t="s">
        <v>232</v>
      </c>
      <c r="E10" s="2" t="s">
        <v>121</v>
      </c>
      <c r="F10" s="4">
        <v>50</v>
      </c>
      <c r="G10" s="4"/>
      <c r="H10" s="4"/>
      <c r="I10" s="4"/>
      <c r="J10" s="4"/>
      <c r="K10" s="4"/>
      <c r="L10" s="4"/>
      <c r="M10" s="4"/>
      <c r="N10" s="4"/>
    </row>
    <row r="11" spans="1:14" ht="15.75" thickBot="1" x14ac:dyDescent="0.3">
      <c r="A11" s="4">
        <v>9</v>
      </c>
      <c r="B11" s="82"/>
      <c r="C11" s="6" t="s">
        <v>281</v>
      </c>
      <c r="D11" s="2" t="s">
        <v>249</v>
      </c>
      <c r="E11" s="2" t="s">
        <v>121</v>
      </c>
      <c r="F11" s="4">
        <v>50</v>
      </c>
      <c r="G11" s="4"/>
      <c r="H11" s="4"/>
      <c r="I11" s="4"/>
      <c r="J11" s="4"/>
      <c r="K11" s="4"/>
      <c r="L11" s="4"/>
      <c r="M11" s="4"/>
      <c r="N11" s="4"/>
    </row>
    <row r="12" spans="1:14" ht="15.75" thickBot="1" x14ac:dyDescent="0.3">
      <c r="A12" s="4">
        <v>10</v>
      </c>
      <c r="B12" s="82"/>
      <c r="C12" s="34" t="s">
        <v>144</v>
      </c>
      <c r="D12" s="22" t="s">
        <v>249</v>
      </c>
      <c r="E12" s="22" t="s">
        <v>121</v>
      </c>
      <c r="F12" s="35">
        <v>50</v>
      </c>
      <c r="H12" s="35"/>
      <c r="I12" s="35"/>
    </row>
    <row r="13" spans="1:14" ht="15.75" thickBot="1" x14ac:dyDescent="0.3">
      <c r="A13" s="4">
        <v>11</v>
      </c>
      <c r="B13" s="82"/>
      <c r="C13" s="34" t="s">
        <v>283</v>
      </c>
      <c r="D13" s="22" t="s">
        <v>249</v>
      </c>
      <c r="E13" s="22" t="s">
        <v>265</v>
      </c>
      <c r="F13" s="35">
        <v>100</v>
      </c>
      <c r="H13" s="35"/>
      <c r="I13" s="35"/>
    </row>
    <row r="14" spans="1:14" ht="15.75" thickBot="1" x14ac:dyDescent="0.3">
      <c r="A14" s="4">
        <v>12</v>
      </c>
      <c r="B14" s="82"/>
    </row>
    <row r="15" spans="1:14" ht="15.75" thickBot="1" x14ac:dyDescent="0.3">
      <c r="A15" s="4">
        <v>13</v>
      </c>
      <c r="B15" s="82"/>
    </row>
    <row r="16" spans="1:14" ht="15.75" thickBot="1" x14ac:dyDescent="0.3">
      <c r="A16" s="4">
        <v>14</v>
      </c>
      <c r="B16" s="82"/>
    </row>
    <row r="17" spans="1:2" ht="15.75" thickBot="1" x14ac:dyDescent="0.3">
      <c r="A17" s="4">
        <v>15</v>
      </c>
      <c r="B17" s="82"/>
    </row>
    <row r="18" spans="1:2" ht="15.75" thickBot="1" x14ac:dyDescent="0.3">
      <c r="A18" s="4">
        <v>16</v>
      </c>
      <c r="B18" s="82"/>
    </row>
    <row r="19" spans="1:2" ht="15.75" thickBot="1" x14ac:dyDescent="0.3">
      <c r="A19" s="4">
        <v>17</v>
      </c>
      <c r="B19" s="82"/>
    </row>
    <row r="20" spans="1:2" ht="15.75" thickBot="1" x14ac:dyDescent="0.3">
      <c r="A20" s="4"/>
      <c r="B20" s="82"/>
    </row>
    <row r="21" spans="1:2" ht="15.75" thickBot="1" x14ac:dyDescent="0.3">
      <c r="A21" s="4"/>
      <c r="B21" s="82"/>
    </row>
    <row r="22" spans="1:2" ht="15.75" thickBot="1" x14ac:dyDescent="0.3">
      <c r="A22" s="4"/>
      <c r="B22" s="82"/>
    </row>
    <row r="23" spans="1:2" ht="15.75" thickBot="1" x14ac:dyDescent="0.3">
      <c r="A23" s="4"/>
      <c r="B23" s="83"/>
    </row>
  </sheetData>
  <mergeCells count="7">
    <mergeCell ref="E1:E2"/>
    <mergeCell ref="F1:N1"/>
    <mergeCell ref="B3:B23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1 PRIM A</vt:lpstr>
      <vt:lpstr>1 PRIM B</vt:lpstr>
      <vt:lpstr>2 PRIM</vt:lpstr>
      <vt:lpstr>3 PRIM</vt:lpstr>
      <vt:lpstr>4 PRIM</vt:lpstr>
      <vt:lpstr>5 PRIM</vt:lpstr>
      <vt:lpstr>6 PRIM</vt:lpstr>
      <vt:lpstr>J. MPOYI</vt:lpstr>
      <vt:lpstr>C. KADIAYI</vt:lpstr>
      <vt:lpstr>D. NGOY</vt:lpstr>
      <vt:lpstr>G. BEYA</vt:lpstr>
      <vt:lpstr>A. KADJIBA</vt:lpstr>
      <vt:lpstr>F. MBUYAMBA</vt:lpstr>
      <vt:lpstr>CHRISTIN</vt:lpstr>
      <vt:lpstr>J.MUNUNG</vt:lpstr>
      <vt:lpstr>J.NTUMBA</vt:lpstr>
      <vt:lpstr>BALTHAZAR</vt:lpstr>
      <vt:lpstr>Mm NICLETTE</vt:lpstr>
      <vt:lpstr>Mm CLEMENTINE</vt:lpstr>
      <vt:lpstr>Mm JUDITH</vt:lpstr>
      <vt:lpstr>Mr PAUL</vt:lpstr>
      <vt:lpstr>Mr LEDOUX</vt:lpstr>
      <vt:lpstr>Mr JOEL</vt:lpstr>
      <vt:lpstr>Mr MARCEL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Kabululu</dc:creator>
  <cp:lastModifiedBy>Marcel Kabululu</cp:lastModifiedBy>
  <dcterms:created xsi:type="dcterms:W3CDTF">2025-12-27T06:46:31Z</dcterms:created>
  <dcterms:modified xsi:type="dcterms:W3CDTF">2025-12-31T04:29:12Z</dcterms:modified>
</cp:coreProperties>
</file>