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tal\Downloads\le-merite\"/>
    </mc:Choice>
  </mc:AlternateContent>
  <bookViews>
    <workbookView xWindow="0" yWindow="0" windowWidth="19200" windowHeight="6930" firstSheet="1" activeTab="2"/>
  </bookViews>
  <sheets>
    <sheet name="CELESTIN MBAYA 1ERE PRIMAIRE" sheetId="1" r:id="rId1"/>
    <sheet name="WAGUMIYA VICTORINE 1ERE PRIMAIR" sheetId="2" r:id="rId2"/>
    <sheet name="MBELU NGANDU ADA 2ème PRIMAIRE" sheetId="3" r:id="rId3"/>
    <sheet name="JONAS KONGOLO 3EME PRIMAIRE" sheetId="4" r:id="rId4"/>
    <sheet name="RICHARD TSHIBANGU 4EME PRIMAIRE" sheetId="5" r:id="rId5"/>
    <sheet name="MBUYI NGANDU 5EME PRIMAIRE" sheetId="6" r:id="rId6"/>
    <sheet name="GEDEON KABAMBA 6EME PRIMAIRE" sheetId="7" r:id="rId7"/>
  </sheets>
  <externalReferences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3" l="1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O2" i="3"/>
  <c r="N2" i="3"/>
  <c r="M2" i="3"/>
  <c r="L2" i="3"/>
  <c r="K2" i="3"/>
  <c r="J2" i="3"/>
  <c r="I2" i="3"/>
  <c r="H2" i="3"/>
  <c r="G2" i="3"/>
  <c r="F2" i="3"/>
  <c r="E2" i="3"/>
  <c r="D2" i="3"/>
  <c r="C2" i="3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O2" i="7"/>
  <c r="N2" i="7"/>
  <c r="M2" i="7"/>
  <c r="L2" i="7"/>
  <c r="K2" i="7"/>
  <c r="J2" i="7"/>
  <c r="I2" i="7"/>
  <c r="H2" i="7"/>
  <c r="G2" i="7"/>
  <c r="F2" i="7"/>
  <c r="E2" i="7"/>
  <c r="D2" i="7"/>
  <c r="C2" i="7"/>
  <c r="O2" i="6"/>
  <c r="N2" i="6"/>
  <c r="M2" i="6"/>
  <c r="L2" i="6"/>
  <c r="K2" i="6"/>
  <c r="J2" i="6"/>
  <c r="I2" i="6"/>
  <c r="H2" i="6"/>
  <c r="G2" i="6"/>
  <c r="F2" i="6"/>
  <c r="E2" i="6"/>
  <c r="D2" i="6"/>
  <c r="C2" i="6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O2" i="5"/>
  <c r="N2" i="5"/>
  <c r="M2" i="5"/>
  <c r="L2" i="5"/>
  <c r="K2" i="5"/>
  <c r="J2" i="5"/>
  <c r="I2" i="5"/>
  <c r="H2" i="5"/>
  <c r="G2" i="5"/>
  <c r="F2" i="5"/>
  <c r="E2" i="5"/>
  <c r="D2" i="5"/>
  <c r="C2" i="5"/>
  <c r="O2" i="4"/>
  <c r="N2" i="4"/>
  <c r="M2" i="4"/>
  <c r="L2" i="4"/>
  <c r="K2" i="4"/>
  <c r="J2" i="4"/>
  <c r="I2" i="4"/>
  <c r="H2" i="4"/>
  <c r="G2" i="4"/>
  <c r="F2" i="4"/>
  <c r="E2" i="4"/>
  <c r="D2" i="4"/>
  <c r="C2" i="4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O2" i="2"/>
  <c r="N2" i="2"/>
  <c r="M2" i="2"/>
  <c r="L2" i="2"/>
  <c r="K2" i="2"/>
  <c r="J2" i="2"/>
  <c r="I2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<sst xmlns="http://schemas.openxmlformats.org/spreadsheetml/2006/main" count="197" uniqueCount="69">
  <si>
    <t>NOM POSTNOM PRENOM</t>
  </si>
  <si>
    <t>DISCIPLINE</t>
  </si>
  <si>
    <t>PONDERATION</t>
  </si>
  <si>
    <t>P1</t>
  </si>
  <si>
    <t>P2</t>
  </si>
  <si>
    <t>EX</t>
  </si>
  <si>
    <t>S1</t>
  </si>
  <si>
    <t>P3</t>
  </si>
  <si>
    <t>P4</t>
  </si>
  <si>
    <t>S2</t>
  </si>
  <si>
    <t>P5</t>
  </si>
  <si>
    <t>P6</t>
  </si>
  <si>
    <t>S3</t>
  </si>
  <si>
    <t>TG</t>
  </si>
  <si>
    <t>CELESTIN MBAYA</t>
  </si>
  <si>
    <t>EXPRESSION ORALE</t>
  </si>
  <si>
    <t>EXPRESSION ECRITE</t>
  </si>
  <si>
    <t>VOCABULAIRE</t>
  </si>
  <si>
    <t>LANGUES CONGOLAISES</t>
  </si>
  <si>
    <t>MESURE DES GRANDEURS</t>
  </si>
  <si>
    <t>FORMES GEOMETRIQUES</t>
  </si>
  <si>
    <t>NUMERATION</t>
  </si>
  <si>
    <t>OPERATIONS</t>
  </si>
  <si>
    <t>PROBLEMES</t>
  </si>
  <si>
    <t>SCIENCES D’EVEIL</t>
  </si>
  <si>
    <t>TECNOLOGIES</t>
  </si>
  <si>
    <t>ED CIV ET MORALE</t>
  </si>
  <si>
    <t>ED SANTE ET ENVIRONNEMENT</t>
  </si>
  <si>
    <t>ARTS PLASTIQUES</t>
  </si>
  <si>
    <t>ARTS DRAMATIQUES</t>
  </si>
  <si>
    <t>ED PHY ET SPORTIVES</t>
  </si>
  <si>
    <t>TRAVAIL MANUEL</t>
  </si>
  <si>
    <t>RELIGION</t>
  </si>
  <si>
    <t xml:space="preserve">Classe : 1ère année Primaire </t>
  </si>
  <si>
    <t>COURS / 1ere B</t>
  </si>
  <si>
    <t>WAGUMIA VICTORINE</t>
  </si>
  <si>
    <t>LECTURE ECRITURE</t>
  </si>
  <si>
    <t>COURS / 3eme</t>
  </si>
  <si>
    <t>JONAS KONGOLO</t>
  </si>
  <si>
    <t>EXPRESSION ORALE  ET VOCABULAIRE</t>
  </si>
  <si>
    <t>GRAMMAIRE ET CONJUGAISON</t>
  </si>
  <si>
    <t>ORTHOGRAPHE ET REDACTION</t>
  </si>
  <si>
    <t>EXPRESSION ORALE RECITATION ET VOC</t>
  </si>
  <si>
    <t>ORTH PHRASE. ECRIT RED</t>
  </si>
  <si>
    <t>GRAMMAIRE CONJUGAISON ANALYSE</t>
  </si>
  <si>
    <t>LANGUES CONGOLAISE</t>
  </si>
  <si>
    <t>LANGUES FRA.</t>
  </si>
  <si>
    <t>MESURES DES GRANDEURS</t>
  </si>
  <si>
    <t>FORMES GEOMETRIES</t>
  </si>
  <si>
    <t>ZOOLOGIE, BOTANIQUE ET INFORMATIQUE</t>
  </si>
  <si>
    <t>TECNOLOGIE</t>
  </si>
  <si>
    <t>GEOGRAPHIE</t>
  </si>
  <si>
    <t>HISTOIRE</t>
  </si>
  <si>
    <t xml:space="preserve">COURS / 4eme </t>
  </si>
  <si>
    <t>RICHARD TSHIBANGU</t>
  </si>
  <si>
    <t xml:space="preserve">COURS / CLASSE 5eme </t>
  </si>
  <si>
    <t>MBUYI NGANDU MICHELLINE</t>
  </si>
  <si>
    <t>EXPRESSION ORALE ET VOCABULAIRE</t>
  </si>
  <si>
    <t>ORTHOGRAPHE</t>
  </si>
  <si>
    <t>REDACTION</t>
  </si>
  <si>
    <t>LANGUE CO.</t>
  </si>
  <si>
    <t>LANGUE FRA.</t>
  </si>
  <si>
    <t>MESURES DE GRANDEURS</t>
  </si>
  <si>
    <t>ZOOLOGIE, PHYSIQUE ET INFORMATIQUE</t>
  </si>
  <si>
    <t>BOTANIQUE ANATOMIE</t>
  </si>
  <si>
    <t xml:space="preserve">COURS / CLASSE 6eme </t>
  </si>
  <si>
    <t>GEDEON KABAMBA</t>
  </si>
  <si>
    <t xml:space="preserve">COURS / 2 eme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</si>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</sst>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4"/>
      <color theme="1"/>
      <name val="Aptos"/>
      <family val="2"/>
    </font>
    <font>
      <sz val="12"/>
      <color theme="1"/>
      <name val="Calibri"/>
      <family val="2"/>
      <scheme val="minor"/>
    </font>
    <font>
      <b/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255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5" xfId="0" applyBorder="1"/>
    <xf numFmtId="0" fontId="3" fillId="0" borderId="8" xfId="0" applyFont="1" applyBorder="1" applyAlignment="1">
      <alignment horizontal="center" vertical="center" textRotation="255" wrapText="1"/>
    </xf>
    <xf numFmtId="0" fontId="2" fillId="0" borderId="6" xfId="0" applyFont="1" applyBorder="1" applyAlignment="1">
      <alignment vertical="center" wrapText="1"/>
    </xf>
    <xf numFmtId="0" fontId="0" fillId="0" borderId="6" xfId="0" applyBorder="1"/>
    <xf numFmtId="0" fontId="3" fillId="0" borderId="5" xfId="0" applyFont="1" applyBorder="1" applyAlignment="1">
      <alignment horizontal="center" vertical="center" textRotation="255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utal/AppData/Local/Packages/5319275A.WhatsAppDesktop_cv1g1gvanyjgm/LocalState/sessions/CD443444E607A85E938F46A28762B4674493B8F8/transfers/2026-04/ATRIBUTION%20DES%20COURS%20PRO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PRIM A"/>
      <sheetName val="1 PRIM B"/>
      <sheetName val="2 PRIM"/>
      <sheetName val="3 PRIM"/>
      <sheetName val="4 PRIM"/>
      <sheetName val="5 PRIM"/>
      <sheetName val="6 PRIM"/>
      <sheetName val="J. MPOYI"/>
      <sheetName val="C. KADIAYI"/>
      <sheetName val="D. NGOY"/>
      <sheetName val="G. BEYA"/>
      <sheetName val="A. KADJIBA"/>
      <sheetName val="F. MBUYAMBA"/>
      <sheetName val="CHRISTIN"/>
      <sheetName val="J.MUNUNG"/>
      <sheetName val="J.NTUMBA"/>
      <sheetName val="BALTHAZAR"/>
      <sheetName val="Mm NICLETTE"/>
      <sheetName val="Mm CLEMENTINE"/>
      <sheetName val="Mm JUDITH"/>
      <sheetName val="Mr PAUL"/>
      <sheetName val="Mr LEDOUX"/>
      <sheetName val="Mr JOEL"/>
      <sheetName val="Mr MARCEL"/>
    </sheetNames>
    <sheetDataSet>
      <sheetData sheetId="0">
        <row r="2">
          <cell r="C2" t="str">
            <v>P1</v>
          </cell>
          <cell r="D2" t="str">
            <v>P2</v>
          </cell>
          <cell r="E2" t="str">
            <v>EX</v>
          </cell>
          <cell r="F2" t="str">
            <v>S1</v>
          </cell>
          <cell r="G2" t="str">
            <v>P3</v>
          </cell>
          <cell r="H2" t="str">
            <v>P4</v>
          </cell>
          <cell r="I2" t="str">
            <v>EX</v>
          </cell>
          <cell r="J2" t="str">
            <v>S2</v>
          </cell>
          <cell r="K2" t="str">
            <v>P5</v>
          </cell>
          <cell r="L2" t="str">
            <v>P6</v>
          </cell>
          <cell r="M2" t="str">
            <v>EX</v>
          </cell>
          <cell r="N2" t="str">
            <v>S3</v>
          </cell>
          <cell r="O2" t="str">
            <v>TG</v>
          </cell>
        </row>
        <row r="3">
          <cell r="C3">
            <v>20</v>
          </cell>
        </row>
        <row r="4">
          <cell r="C4">
            <v>20</v>
          </cell>
        </row>
        <row r="5">
          <cell r="C5">
            <v>10</v>
          </cell>
        </row>
        <row r="6">
          <cell r="C6">
            <v>20</v>
          </cell>
        </row>
        <row r="7">
          <cell r="C7">
            <v>30</v>
          </cell>
        </row>
        <row r="8">
          <cell r="C8">
            <v>10</v>
          </cell>
        </row>
        <row r="9">
          <cell r="C9">
            <v>10</v>
          </cell>
        </row>
        <row r="10">
          <cell r="C10">
            <v>20</v>
          </cell>
        </row>
        <row r="11">
          <cell r="C11">
            <v>20</v>
          </cell>
        </row>
        <row r="12">
          <cell r="C12">
            <v>20</v>
          </cell>
        </row>
        <row r="13">
          <cell r="C13">
            <v>10</v>
          </cell>
        </row>
        <row r="14">
          <cell r="C14">
            <v>10</v>
          </cell>
        </row>
        <row r="15">
          <cell r="C15">
            <v>10</v>
          </cell>
        </row>
        <row r="16">
          <cell r="C16">
            <v>10</v>
          </cell>
        </row>
        <row r="17">
          <cell r="C17">
            <v>10</v>
          </cell>
        </row>
        <row r="18">
          <cell r="C18">
            <v>10</v>
          </cell>
        </row>
        <row r="19">
          <cell r="C19">
            <v>10</v>
          </cell>
        </row>
        <row r="20">
          <cell r="C20">
            <v>10</v>
          </cell>
        </row>
        <row r="21">
          <cell r="C21">
            <v>10</v>
          </cell>
        </row>
      </sheetData>
      <sheetData sheetId="1">
        <row r="2">
          <cell r="C2" t="str">
            <v>P1</v>
          </cell>
          <cell r="D2" t="str">
            <v>P2</v>
          </cell>
          <cell r="E2" t="str">
            <v>EX</v>
          </cell>
          <cell r="F2" t="str">
            <v>S1</v>
          </cell>
          <cell r="G2" t="str">
            <v>P3</v>
          </cell>
          <cell r="H2" t="str">
            <v>P4</v>
          </cell>
          <cell r="I2" t="str">
            <v>EX</v>
          </cell>
          <cell r="J2" t="str">
            <v>S2</v>
          </cell>
          <cell r="K2" t="str">
            <v>P5</v>
          </cell>
          <cell r="L2" t="str">
            <v>P6</v>
          </cell>
          <cell r="M2" t="str">
            <v>EX</v>
          </cell>
          <cell r="N2" t="str">
            <v>S3</v>
          </cell>
          <cell r="O2" t="str">
            <v>TG</v>
          </cell>
        </row>
        <row r="3">
          <cell r="C3">
            <v>20</v>
          </cell>
        </row>
        <row r="4">
          <cell r="C4">
            <v>20</v>
          </cell>
        </row>
        <row r="5">
          <cell r="C5">
            <v>10</v>
          </cell>
        </row>
        <row r="6">
          <cell r="C6">
            <v>20</v>
          </cell>
        </row>
        <row r="7">
          <cell r="C7">
            <v>30</v>
          </cell>
        </row>
        <row r="8">
          <cell r="C8">
            <v>10</v>
          </cell>
        </row>
        <row r="9">
          <cell r="C9">
            <v>10</v>
          </cell>
        </row>
        <row r="10">
          <cell r="C10">
            <v>20</v>
          </cell>
        </row>
        <row r="11">
          <cell r="C11">
            <v>20</v>
          </cell>
        </row>
        <row r="12">
          <cell r="C12">
            <v>20</v>
          </cell>
        </row>
        <row r="13">
          <cell r="C13">
            <v>10</v>
          </cell>
        </row>
        <row r="14">
          <cell r="C14">
            <v>10</v>
          </cell>
        </row>
        <row r="15">
          <cell r="C15">
            <v>10</v>
          </cell>
        </row>
        <row r="16">
          <cell r="C16">
            <v>10</v>
          </cell>
        </row>
        <row r="17">
          <cell r="C17">
            <v>10</v>
          </cell>
        </row>
        <row r="18">
          <cell r="C18">
            <v>10</v>
          </cell>
        </row>
        <row r="19">
          <cell r="C19">
            <v>10</v>
          </cell>
        </row>
        <row r="20">
          <cell r="C20">
            <v>10</v>
          </cell>
        </row>
        <row r="21">
          <cell r="C21">
            <v>10</v>
          </cell>
        </row>
      </sheetData>
      <sheetData sheetId="2">
        <row r="2">
          <cell r="C2" t="str">
            <v>P1</v>
          </cell>
          <cell r="D2" t="str">
            <v>P2</v>
          </cell>
          <cell r="E2" t="str">
            <v>EX</v>
          </cell>
          <cell r="F2" t="str">
            <v>S1</v>
          </cell>
          <cell r="G2" t="str">
            <v>P3</v>
          </cell>
          <cell r="H2" t="str">
            <v>P4</v>
          </cell>
          <cell r="I2" t="str">
            <v>EX</v>
          </cell>
          <cell r="J2" t="str">
            <v>S2</v>
          </cell>
          <cell r="K2" t="str">
            <v>P5</v>
          </cell>
          <cell r="L2" t="str">
            <v>P6</v>
          </cell>
          <cell r="M2" t="str">
            <v>EX</v>
          </cell>
          <cell r="N2" t="str">
            <v>S3</v>
          </cell>
          <cell r="O2" t="str">
            <v>TG</v>
          </cell>
        </row>
      </sheetData>
      <sheetData sheetId="3">
        <row r="2">
          <cell r="C2" t="str">
            <v>P1</v>
          </cell>
          <cell r="D2" t="str">
            <v>P2</v>
          </cell>
          <cell r="E2" t="str">
            <v>EX</v>
          </cell>
          <cell r="F2" t="str">
            <v>S1</v>
          </cell>
          <cell r="G2" t="str">
            <v>P3</v>
          </cell>
          <cell r="H2" t="str">
            <v>P4</v>
          </cell>
          <cell r="I2" t="str">
            <v>EX</v>
          </cell>
          <cell r="J2" t="str">
            <v>S2</v>
          </cell>
          <cell r="K2" t="str">
            <v>P5</v>
          </cell>
          <cell r="L2" t="str">
            <v>P6</v>
          </cell>
          <cell r="M2" t="str">
            <v>EX</v>
          </cell>
          <cell r="N2" t="str">
            <v>S3</v>
          </cell>
          <cell r="O2" t="str">
            <v>TG</v>
          </cell>
        </row>
        <row r="3">
          <cell r="C3">
            <v>10</v>
          </cell>
        </row>
        <row r="4">
          <cell r="C4">
            <v>10</v>
          </cell>
        </row>
        <row r="5">
          <cell r="C5">
            <v>5</v>
          </cell>
        </row>
        <row r="6">
          <cell r="C6">
            <v>10</v>
          </cell>
        </row>
        <row r="7">
          <cell r="C7">
            <v>10</v>
          </cell>
        </row>
        <row r="8">
          <cell r="C8">
            <v>15</v>
          </cell>
        </row>
        <row r="9">
          <cell r="C9">
            <v>30</v>
          </cell>
        </row>
        <row r="10">
          <cell r="C10">
            <v>30</v>
          </cell>
        </row>
        <row r="11">
          <cell r="C11">
            <v>10</v>
          </cell>
        </row>
        <row r="12">
          <cell r="C12">
            <v>10</v>
          </cell>
        </row>
        <row r="13">
          <cell r="C13">
            <v>10</v>
          </cell>
        </row>
        <row r="14">
          <cell r="C14">
            <v>10</v>
          </cell>
        </row>
        <row r="15">
          <cell r="C15">
            <v>20</v>
          </cell>
        </row>
        <row r="16">
          <cell r="C16">
            <v>10</v>
          </cell>
        </row>
        <row r="17">
          <cell r="C17">
            <v>20</v>
          </cell>
        </row>
        <row r="18">
          <cell r="C18">
            <v>10</v>
          </cell>
        </row>
        <row r="19">
          <cell r="C19">
            <v>10</v>
          </cell>
        </row>
        <row r="20">
          <cell r="C20">
            <v>10</v>
          </cell>
        </row>
        <row r="21">
          <cell r="C21">
            <v>10</v>
          </cell>
        </row>
        <row r="22">
          <cell r="C22">
            <v>10</v>
          </cell>
        </row>
        <row r="23">
          <cell r="C23">
            <v>10</v>
          </cell>
        </row>
        <row r="24">
          <cell r="C24">
            <v>10</v>
          </cell>
        </row>
      </sheetData>
      <sheetData sheetId="4">
        <row r="2">
          <cell r="C2" t="str">
            <v>P1</v>
          </cell>
          <cell r="D2" t="str">
            <v>P2</v>
          </cell>
          <cell r="E2" t="str">
            <v>EX</v>
          </cell>
          <cell r="F2" t="str">
            <v>S1</v>
          </cell>
          <cell r="G2" t="str">
            <v>P3</v>
          </cell>
          <cell r="H2" t="str">
            <v>P4</v>
          </cell>
          <cell r="I2" t="str">
            <v>EX</v>
          </cell>
          <cell r="J2" t="str">
            <v>S2</v>
          </cell>
          <cell r="K2" t="str">
            <v>P5</v>
          </cell>
          <cell r="L2" t="str">
            <v>P6</v>
          </cell>
          <cell r="M2" t="str">
            <v>EX</v>
          </cell>
          <cell r="N2" t="str">
            <v>S3</v>
          </cell>
          <cell r="O2" t="str">
            <v>TG</v>
          </cell>
        </row>
      </sheetData>
      <sheetData sheetId="5">
        <row r="2">
          <cell r="C2" t="str">
            <v>P1</v>
          </cell>
          <cell r="D2" t="str">
            <v>P2</v>
          </cell>
          <cell r="E2" t="str">
            <v>EX</v>
          </cell>
          <cell r="F2" t="str">
            <v>S1</v>
          </cell>
          <cell r="G2" t="str">
            <v>P3</v>
          </cell>
          <cell r="H2" t="str">
            <v>P4</v>
          </cell>
          <cell r="I2" t="str">
            <v>EX</v>
          </cell>
          <cell r="J2" t="str">
            <v>S2</v>
          </cell>
          <cell r="K2" t="str">
            <v>P5</v>
          </cell>
          <cell r="L2" t="str">
            <v>P6</v>
          </cell>
          <cell r="M2" t="str">
            <v>EX</v>
          </cell>
          <cell r="N2" t="str">
            <v>S3</v>
          </cell>
          <cell r="O2" t="str">
            <v>TG</v>
          </cell>
        </row>
        <row r="3">
          <cell r="C3">
            <v>10</v>
          </cell>
        </row>
        <row r="4">
          <cell r="C4">
            <v>10</v>
          </cell>
        </row>
        <row r="5">
          <cell r="C5">
            <v>10</v>
          </cell>
        </row>
        <row r="6">
          <cell r="C6">
            <v>10</v>
          </cell>
        </row>
        <row r="7">
          <cell r="C7">
            <v>10</v>
          </cell>
        </row>
        <row r="8">
          <cell r="C8">
            <v>20</v>
          </cell>
        </row>
        <row r="9">
          <cell r="C9">
            <v>10</v>
          </cell>
        </row>
        <row r="10">
          <cell r="C10">
            <v>20</v>
          </cell>
        </row>
        <row r="11">
          <cell r="C11">
            <v>20</v>
          </cell>
        </row>
        <row r="12">
          <cell r="C12">
            <v>10</v>
          </cell>
        </row>
        <row r="13">
          <cell r="C13">
            <v>10</v>
          </cell>
        </row>
        <row r="14">
          <cell r="C14">
            <v>10</v>
          </cell>
        </row>
        <row r="15">
          <cell r="C15">
            <v>10</v>
          </cell>
        </row>
        <row r="16">
          <cell r="C16">
            <v>20</v>
          </cell>
        </row>
        <row r="17">
          <cell r="C17">
            <v>10</v>
          </cell>
        </row>
        <row r="18">
          <cell r="C18">
            <v>20</v>
          </cell>
        </row>
        <row r="19">
          <cell r="C19">
            <v>10</v>
          </cell>
        </row>
        <row r="20">
          <cell r="C20">
            <v>10</v>
          </cell>
        </row>
        <row r="21">
          <cell r="C21">
            <v>10</v>
          </cell>
        </row>
        <row r="22">
          <cell r="C22">
            <v>10</v>
          </cell>
        </row>
        <row r="23">
          <cell r="C23">
            <v>10</v>
          </cell>
        </row>
        <row r="24">
          <cell r="C24">
            <v>10</v>
          </cell>
        </row>
        <row r="25">
          <cell r="C25">
            <v>10</v>
          </cell>
        </row>
        <row r="26">
          <cell r="C26">
            <v>10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D5" sqref="D5"/>
    </sheetView>
  </sheetViews>
  <sheetFormatPr baseColWidth="10" defaultRowHeight="14.5"/>
  <cols>
    <col min="1" max="1" width="23.7265625" customWidth="1"/>
    <col min="2" max="2" width="30.7265625" customWidth="1"/>
    <col min="3" max="3" width="17.36328125" customWidth="1"/>
  </cols>
  <sheetData>
    <row r="1" spans="1:15" ht="15" thickBot="1">
      <c r="A1" t="s">
        <v>0</v>
      </c>
      <c r="B1" t="s">
        <v>14</v>
      </c>
      <c r="C1" t="s">
        <v>33</v>
      </c>
    </row>
    <row r="2" spans="1:15" ht="15" thickBot="1">
      <c r="A2" s="1" t="s">
        <v>0</v>
      </c>
      <c r="B2" s="2" t="s">
        <v>1</v>
      </c>
      <c r="C2" s="3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5" thickBot="1">
      <c r="A3" s="6"/>
      <c r="B3" s="7"/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5</v>
      </c>
      <c r="J3" s="8" t="s">
        <v>9</v>
      </c>
      <c r="K3" s="8" t="s">
        <v>10</v>
      </c>
      <c r="L3" s="8" t="s">
        <v>11</v>
      </c>
      <c r="M3" s="8" t="s">
        <v>5</v>
      </c>
      <c r="N3" s="8" t="s">
        <v>12</v>
      </c>
      <c r="O3" s="8" t="s">
        <v>13</v>
      </c>
    </row>
    <row r="4" spans="1:15" ht="15" thickBot="1">
      <c r="A4" s="9" t="s">
        <v>14</v>
      </c>
      <c r="B4" s="10" t="s">
        <v>15</v>
      </c>
      <c r="C4" s="11">
        <v>20</v>
      </c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2"/>
    </row>
    <row r="5" spans="1:15" ht="42.5" thickBot="1">
      <c r="A5" s="13"/>
      <c r="B5" s="10" t="s">
        <v>16</v>
      </c>
      <c r="C5" s="14">
        <v>20</v>
      </c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</row>
    <row r="6" spans="1:15" ht="28.5" thickBot="1">
      <c r="A6" s="13"/>
      <c r="B6" s="10" t="s">
        <v>17</v>
      </c>
      <c r="C6" s="14">
        <v>10</v>
      </c>
      <c r="D6" s="14"/>
      <c r="E6" s="14"/>
      <c r="F6" s="14"/>
      <c r="G6" s="14"/>
      <c r="H6" s="14"/>
      <c r="I6" s="15"/>
      <c r="J6" s="15"/>
      <c r="K6" s="15"/>
      <c r="L6" s="15"/>
      <c r="M6" s="15"/>
      <c r="N6" s="15"/>
      <c r="O6" s="15"/>
    </row>
    <row r="7" spans="1:15" ht="42.5" thickBot="1">
      <c r="A7" s="13"/>
      <c r="B7" s="10" t="s">
        <v>15</v>
      </c>
      <c r="C7" s="14">
        <v>20</v>
      </c>
      <c r="D7" s="14"/>
      <c r="E7" s="14"/>
      <c r="F7" s="14"/>
      <c r="G7" s="14"/>
      <c r="H7" s="14"/>
      <c r="I7" s="15"/>
      <c r="J7" s="15"/>
      <c r="K7" s="15"/>
      <c r="L7" s="15"/>
      <c r="M7" s="15"/>
      <c r="N7" s="15"/>
      <c r="O7" s="15"/>
    </row>
    <row r="8" spans="1:15" ht="42.5" thickBot="1">
      <c r="A8" s="13"/>
      <c r="B8" s="10" t="s">
        <v>18</v>
      </c>
      <c r="C8" s="14">
        <v>30</v>
      </c>
      <c r="D8" s="14"/>
      <c r="E8" s="14"/>
      <c r="F8" s="14"/>
      <c r="G8" s="14"/>
      <c r="H8" s="14"/>
      <c r="I8" s="15"/>
      <c r="J8" s="15"/>
      <c r="K8" s="15"/>
      <c r="L8" s="15"/>
      <c r="M8" s="15"/>
      <c r="N8" s="15"/>
      <c r="O8" s="15"/>
    </row>
    <row r="9" spans="1:15" ht="56.5" thickBot="1">
      <c r="A9" s="13"/>
      <c r="B9" s="10" t="s">
        <v>19</v>
      </c>
      <c r="C9" s="14">
        <v>10</v>
      </c>
      <c r="D9" s="14"/>
      <c r="E9" s="14"/>
      <c r="F9" s="14"/>
      <c r="G9" s="14"/>
      <c r="H9" s="14"/>
      <c r="I9" s="15"/>
      <c r="J9" s="15"/>
      <c r="K9" s="15"/>
      <c r="L9" s="15"/>
      <c r="M9" s="15"/>
      <c r="N9" s="15"/>
      <c r="O9" s="15"/>
    </row>
    <row r="10" spans="1:15" ht="42.5" thickBot="1">
      <c r="A10" s="13"/>
      <c r="B10" s="10" t="s">
        <v>20</v>
      </c>
      <c r="C10" s="14">
        <v>10</v>
      </c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  <c r="O10" s="15"/>
    </row>
    <row r="11" spans="1:15" ht="28.5" thickBot="1">
      <c r="A11" s="13"/>
      <c r="B11" s="10" t="s">
        <v>21</v>
      </c>
      <c r="C11" s="14">
        <v>20</v>
      </c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5"/>
      <c r="O11" s="15"/>
    </row>
    <row r="12" spans="1:15" ht="28.5" thickBot="1">
      <c r="A12" s="13"/>
      <c r="B12" s="10" t="s">
        <v>22</v>
      </c>
      <c r="C12" s="14">
        <v>20</v>
      </c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5"/>
      <c r="O12" s="15"/>
    </row>
    <row r="13" spans="1:15" ht="28.5" thickBot="1">
      <c r="A13" s="13"/>
      <c r="B13" s="10" t="s">
        <v>23</v>
      </c>
      <c r="C13" s="14">
        <v>20</v>
      </c>
      <c r="D13" s="14"/>
      <c r="E13" s="14"/>
      <c r="F13" s="14"/>
      <c r="G13" s="14"/>
      <c r="H13" s="14"/>
      <c r="I13" s="15"/>
      <c r="J13" s="15"/>
      <c r="K13" s="15"/>
      <c r="L13" s="15"/>
      <c r="M13" s="15"/>
      <c r="N13" s="15"/>
      <c r="O13" s="15"/>
    </row>
    <row r="14" spans="1:15" ht="28.5" thickBot="1">
      <c r="A14" s="13"/>
      <c r="B14" s="10" t="s">
        <v>24</v>
      </c>
      <c r="C14" s="14">
        <v>10</v>
      </c>
      <c r="D14" s="14"/>
      <c r="E14" s="14"/>
      <c r="F14" s="14"/>
      <c r="G14" s="14"/>
      <c r="H14" s="14"/>
      <c r="I14" s="15"/>
      <c r="J14" s="15"/>
      <c r="K14" s="15"/>
      <c r="L14" s="15"/>
      <c r="M14" s="15"/>
      <c r="N14" s="15"/>
      <c r="O14" s="15"/>
    </row>
    <row r="15" spans="1:15" ht="28.5" thickBot="1">
      <c r="A15" s="13"/>
      <c r="B15" s="10" t="s">
        <v>25</v>
      </c>
      <c r="C15" s="14">
        <v>10</v>
      </c>
      <c r="D15" s="14"/>
      <c r="E15" s="14"/>
      <c r="F15" s="14"/>
      <c r="G15" s="14"/>
      <c r="H15" s="14"/>
      <c r="I15" s="15"/>
      <c r="J15" s="15"/>
      <c r="K15" s="15"/>
      <c r="L15" s="15"/>
      <c r="M15" s="15"/>
      <c r="N15" s="15"/>
      <c r="O15" s="15"/>
    </row>
    <row r="16" spans="1:15" ht="28.5" thickBot="1">
      <c r="A16" s="13"/>
      <c r="B16" s="10" t="s">
        <v>26</v>
      </c>
      <c r="C16" s="14">
        <v>10</v>
      </c>
      <c r="D16" s="14"/>
      <c r="E16" s="14"/>
      <c r="F16" s="14"/>
      <c r="G16" s="14"/>
      <c r="H16" s="14"/>
      <c r="I16" s="15"/>
      <c r="J16" s="15"/>
      <c r="K16" s="15"/>
      <c r="L16" s="15"/>
      <c r="M16" s="15"/>
      <c r="N16" s="15"/>
      <c r="O16" s="15"/>
    </row>
    <row r="17" spans="1:15" ht="56.5" thickBot="1">
      <c r="A17" s="13"/>
      <c r="B17" s="10" t="s">
        <v>27</v>
      </c>
      <c r="C17" s="14">
        <v>10</v>
      </c>
      <c r="D17" s="14"/>
      <c r="E17" s="14"/>
      <c r="F17" s="14"/>
      <c r="G17" s="14"/>
      <c r="H17" s="14"/>
      <c r="I17" s="15"/>
      <c r="J17" s="15"/>
      <c r="K17" s="15"/>
      <c r="L17" s="15"/>
      <c r="M17" s="15"/>
      <c r="N17" s="15"/>
      <c r="O17" s="15"/>
    </row>
    <row r="18" spans="1:15" ht="42.5" thickBot="1">
      <c r="A18" s="13"/>
      <c r="B18" s="10" t="s">
        <v>28</v>
      </c>
      <c r="C18" s="14">
        <v>10</v>
      </c>
      <c r="D18" s="14"/>
      <c r="E18" s="14"/>
      <c r="F18" s="14"/>
      <c r="G18" s="14"/>
      <c r="H18" s="14"/>
      <c r="I18" s="15"/>
      <c r="J18" s="15"/>
      <c r="K18" s="15"/>
      <c r="L18" s="15"/>
      <c r="M18" s="15"/>
      <c r="N18" s="15"/>
      <c r="O18" s="15"/>
    </row>
    <row r="19" spans="1:15" ht="42.5" thickBot="1">
      <c r="A19" s="13"/>
      <c r="B19" s="10" t="s">
        <v>29</v>
      </c>
      <c r="C19" s="14">
        <v>10</v>
      </c>
      <c r="D19" s="14"/>
      <c r="E19" s="14"/>
      <c r="F19" s="14"/>
      <c r="G19" s="14"/>
      <c r="H19" s="14"/>
      <c r="I19" s="15"/>
      <c r="J19" s="15"/>
      <c r="K19" s="15"/>
      <c r="L19" s="15"/>
      <c r="M19" s="15"/>
      <c r="N19" s="15"/>
      <c r="O19" s="15"/>
    </row>
    <row r="20" spans="1:15" ht="56.5" thickBot="1">
      <c r="A20" s="13"/>
      <c r="B20" s="10" t="s">
        <v>30</v>
      </c>
      <c r="C20" s="14">
        <v>10</v>
      </c>
      <c r="D20" s="14"/>
      <c r="E20" s="14"/>
      <c r="F20" s="14"/>
      <c r="G20" s="14"/>
      <c r="H20" s="14"/>
      <c r="I20" s="15"/>
      <c r="J20" s="15"/>
      <c r="K20" s="15"/>
      <c r="L20" s="15"/>
      <c r="M20" s="15"/>
      <c r="N20" s="15"/>
      <c r="O20" s="15"/>
    </row>
    <row r="21" spans="1:15" ht="28.5" thickBot="1">
      <c r="A21" s="13"/>
      <c r="B21" s="10" t="s">
        <v>31</v>
      </c>
      <c r="C21" s="14">
        <v>10</v>
      </c>
      <c r="D21" s="14"/>
      <c r="E21" s="14"/>
      <c r="F21" s="14"/>
      <c r="G21" s="14"/>
      <c r="H21" s="14"/>
      <c r="I21" s="15"/>
      <c r="J21" s="15"/>
      <c r="K21" s="15"/>
      <c r="L21" s="15"/>
      <c r="M21" s="15"/>
      <c r="N21" s="15"/>
      <c r="O21" s="15"/>
    </row>
    <row r="22" spans="1:15" ht="15" thickBot="1">
      <c r="A22" s="16"/>
      <c r="B22" s="10" t="s">
        <v>32</v>
      </c>
      <c r="C22" s="14">
        <v>10</v>
      </c>
      <c r="D22" s="14"/>
      <c r="E22" s="14"/>
      <c r="F22" s="14"/>
      <c r="G22" s="14"/>
      <c r="H22" s="14"/>
      <c r="I22" s="15"/>
      <c r="J22" s="15"/>
      <c r="K22" s="15"/>
      <c r="L22" s="15"/>
      <c r="M22" s="15"/>
      <c r="N22" s="15"/>
      <c r="O22" s="15"/>
    </row>
  </sheetData>
  <mergeCells count="4">
    <mergeCell ref="A2:A3"/>
    <mergeCell ref="B2:B3"/>
    <mergeCell ref="C2:O2"/>
    <mergeCell ref="A4:A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opLeftCell="A9" workbookViewId="0">
      <selection activeCell="B1" sqref="B1:B2"/>
    </sheetView>
  </sheetViews>
  <sheetFormatPr baseColWidth="10" defaultRowHeight="14.5"/>
  <cols>
    <col min="2" max="2" width="21.54296875" customWidth="1"/>
  </cols>
  <sheetData>
    <row r="1" spans="1:15" ht="16" thickBot="1">
      <c r="A1" s="1" t="s">
        <v>0</v>
      </c>
      <c r="B1" s="2" t="s">
        <v>34</v>
      </c>
      <c r="C1" s="17" t="s">
        <v>2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15" ht="16" thickBot="1">
      <c r="A2" s="6"/>
      <c r="B2" s="7"/>
      <c r="C2" s="20" t="str">
        <f>'[1]1 PRIM A'!C2</f>
        <v>P1</v>
      </c>
      <c r="D2" s="20" t="str">
        <f>'[1]1 PRIM A'!D2</f>
        <v>P2</v>
      </c>
      <c r="E2" s="20" t="str">
        <f>'[1]1 PRIM A'!E2</f>
        <v>EX</v>
      </c>
      <c r="F2" s="20" t="str">
        <f>'[1]1 PRIM A'!F2</f>
        <v>S1</v>
      </c>
      <c r="G2" s="20" t="str">
        <f>'[1]1 PRIM A'!G2</f>
        <v>P3</v>
      </c>
      <c r="H2" s="20" t="str">
        <f>'[1]1 PRIM A'!H2</f>
        <v>P4</v>
      </c>
      <c r="I2" s="20" t="str">
        <f>'[1]1 PRIM A'!I2</f>
        <v>EX</v>
      </c>
      <c r="J2" s="20" t="str">
        <f>'[1]1 PRIM A'!J2</f>
        <v>S2</v>
      </c>
      <c r="K2" s="20" t="str">
        <f>'[1]1 PRIM A'!K2</f>
        <v>P5</v>
      </c>
      <c r="L2" s="20" t="str">
        <f>'[1]1 PRIM A'!L2</f>
        <v>P6</v>
      </c>
      <c r="M2" s="20" t="str">
        <f>'[1]1 PRIM A'!M2</f>
        <v>EX</v>
      </c>
      <c r="N2" s="20" t="str">
        <f>'[1]1 PRIM A'!N2</f>
        <v>S3</v>
      </c>
      <c r="O2" s="20" t="str">
        <f>'[1]1 PRIM A'!O2</f>
        <v>TG</v>
      </c>
    </row>
    <row r="3" spans="1:15" ht="42.5" thickBot="1">
      <c r="A3" s="9" t="s">
        <v>35</v>
      </c>
      <c r="B3" s="14" t="s">
        <v>15</v>
      </c>
      <c r="C3" s="20">
        <f>'[1]1 PRIM A'!C3</f>
        <v>20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ht="42.5" thickBot="1">
      <c r="A4" s="13"/>
      <c r="B4" s="14" t="s">
        <v>16</v>
      </c>
      <c r="C4" s="20">
        <f>'[1]1 PRIM A'!C4</f>
        <v>20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5" ht="28.5" thickBot="1">
      <c r="A5" s="13"/>
      <c r="B5" s="14" t="s">
        <v>17</v>
      </c>
      <c r="C5" s="20">
        <f>'[1]1 PRIM A'!C5</f>
        <v>10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1:15" ht="42.5" thickBot="1">
      <c r="A6" s="13"/>
      <c r="B6" s="14" t="s">
        <v>15</v>
      </c>
      <c r="C6" s="20">
        <f>'[1]1 PRIM A'!C6</f>
        <v>20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1:15" ht="42.5" thickBot="1">
      <c r="A7" s="13"/>
      <c r="B7" s="14" t="s">
        <v>36</v>
      </c>
      <c r="C7" s="20">
        <f>'[1]1 PRIM A'!C7</f>
        <v>30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 ht="56.5" thickBot="1">
      <c r="A8" s="13"/>
      <c r="B8" s="14" t="s">
        <v>19</v>
      </c>
      <c r="C8" s="20">
        <f>'[1]1 PRIM A'!C8</f>
        <v>10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1:15" ht="42.5" thickBot="1">
      <c r="A9" s="13"/>
      <c r="B9" s="14" t="s">
        <v>20</v>
      </c>
      <c r="C9" s="20">
        <f>'[1]1 PRIM A'!C9</f>
        <v>10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1:15" ht="28.5" thickBot="1">
      <c r="A10" s="13"/>
      <c r="B10" s="14" t="s">
        <v>21</v>
      </c>
      <c r="C10" s="20">
        <f>'[1]1 PRIM A'!C10</f>
        <v>20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ht="28.5" thickBot="1">
      <c r="A11" s="13"/>
      <c r="B11" s="14" t="s">
        <v>22</v>
      </c>
      <c r="C11" s="20">
        <f>'[1]1 PRIM A'!C11</f>
        <v>20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1:15" ht="28.5" thickBot="1">
      <c r="A12" s="13"/>
      <c r="B12" s="14" t="s">
        <v>23</v>
      </c>
      <c r="C12" s="20">
        <f>'[1]1 PRIM A'!C12</f>
        <v>20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spans="1:15" ht="28.5" thickBot="1">
      <c r="A13" s="13"/>
      <c r="B13" s="14" t="s">
        <v>24</v>
      </c>
      <c r="C13" s="20">
        <f>'[1]1 PRIM A'!C13</f>
        <v>10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  <row r="14" spans="1:15" ht="28.5" thickBot="1">
      <c r="A14" s="13"/>
      <c r="B14" s="14" t="s">
        <v>25</v>
      </c>
      <c r="C14" s="20">
        <f>'[1]1 PRIM A'!C14</f>
        <v>10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1:15" ht="28.5" thickBot="1">
      <c r="A15" s="13"/>
      <c r="B15" s="14" t="s">
        <v>26</v>
      </c>
      <c r="C15" s="20">
        <f>'[1]1 PRIM A'!C15</f>
        <v>10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ht="56.5" thickBot="1">
      <c r="A16" s="13"/>
      <c r="B16" s="14" t="s">
        <v>27</v>
      </c>
      <c r="C16" s="20">
        <f>'[1]1 PRIM A'!C16</f>
        <v>10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42.5" thickBot="1">
      <c r="A17" s="13"/>
      <c r="B17" s="14" t="s">
        <v>28</v>
      </c>
      <c r="C17" s="20">
        <f>'[1]1 PRIM A'!C17</f>
        <v>10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ht="42.5" thickBot="1">
      <c r="A18" s="13"/>
      <c r="B18" s="14" t="s">
        <v>29</v>
      </c>
      <c r="C18" s="20">
        <f>'[1]1 PRIM A'!C18</f>
        <v>10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1:15" ht="56.5" thickBot="1">
      <c r="A19" s="13"/>
      <c r="B19" s="14" t="s">
        <v>30</v>
      </c>
      <c r="C19" s="20">
        <f>'[1]1 PRIM A'!C19</f>
        <v>10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ht="28.5" thickBot="1">
      <c r="A20" s="13"/>
      <c r="B20" s="14" t="s">
        <v>31</v>
      </c>
      <c r="C20" s="20">
        <f>'[1]1 PRIM A'!C20</f>
        <v>10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 ht="16" thickBot="1">
      <c r="A21" s="16"/>
      <c r="B21" s="14" t="s">
        <v>32</v>
      </c>
      <c r="C21" s="20">
        <f>'[1]1 PRIM A'!C21</f>
        <v>10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</sheetData>
  <mergeCells count="4">
    <mergeCell ref="A1:A2"/>
    <mergeCell ref="B1:B2"/>
    <mergeCell ref="C1:O1"/>
    <mergeCell ref="A3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selection sqref="A1:O21"/>
    </sheetView>
  </sheetViews>
  <sheetFormatPr baseColWidth="10" defaultRowHeight="14.5"/>
  <sheetData>
    <row r="1" spans="1:15" ht="15" thickBot="1">
      <c r="A1" s="31" t="s">
        <v>0</v>
      </c>
      <c r="B1" s="2" t="s">
        <v>67</v>
      </c>
      <c r="C1" s="24" t="s">
        <v>2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</row>
    <row r="2" spans="1:15" ht="15" thickBot="1">
      <c r="A2" s="32"/>
      <c r="B2" s="7"/>
      <c r="C2" s="15" t="str">
        <f>'[1]1 PRIM B'!C2</f>
        <v>P1</v>
      </c>
      <c r="D2" s="15" t="str">
        <f>'[1]1 PRIM B'!D2</f>
        <v>P2</v>
      </c>
      <c r="E2" s="15" t="str">
        <f>'[1]1 PRIM B'!E2</f>
        <v>EX</v>
      </c>
      <c r="F2" s="15" t="str">
        <f>'[1]1 PRIM B'!F2</f>
        <v>S1</v>
      </c>
      <c r="G2" s="15" t="str">
        <f>'[1]1 PRIM B'!G2</f>
        <v>P3</v>
      </c>
      <c r="H2" s="15" t="str">
        <f>'[1]1 PRIM B'!H2</f>
        <v>P4</v>
      </c>
      <c r="I2" s="15" t="str">
        <f>'[1]1 PRIM B'!I2</f>
        <v>EX</v>
      </c>
      <c r="J2" s="15" t="str">
        <f>'[1]1 PRIM B'!J2</f>
        <v>S2</v>
      </c>
      <c r="K2" s="15" t="str">
        <f>'[1]1 PRIM B'!K2</f>
        <v>P5</v>
      </c>
      <c r="L2" s="15" t="str">
        <f>'[1]1 PRIM B'!L2</f>
        <v>P6</v>
      </c>
      <c r="M2" s="15" t="str">
        <f>'[1]1 PRIM B'!M2</f>
        <v>EX</v>
      </c>
      <c r="N2" s="15" t="str">
        <f>'[1]1 PRIM B'!N2</f>
        <v>S3</v>
      </c>
      <c r="O2" s="15" t="str">
        <f>'[1]1 PRIM B'!O2</f>
        <v>TG</v>
      </c>
    </row>
    <row r="3" spans="1:15" ht="42.5" thickBot="1">
      <c r="A3" s="33" t="s">
        <v>68</v>
      </c>
      <c r="B3" s="14" t="s">
        <v>15</v>
      </c>
      <c r="C3" s="15">
        <f>'[1]1 PRIM B'!C3</f>
        <v>20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42.5" thickBot="1">
      <c r="A4" s="34"/>
      <c r="B4" s="14" t="s">
        <v>16</v>
      </c>
      <c r="C4" s="15">
        <f>'[1]1 PRIM B'!C4</f>
        <v>20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28.5" thickBot="1">
      <c r="A5" s="34"/>
      <c r="B5" s="14" t="s">
        <v>17</v>
      </c>
      <c r="C5" s="15">
        <f>'[1]1 PRIM B'!C5</f>
        <v>10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42.5" thickBot="1">
      <c r="A6" s="34"/>
      <c r="B6" s="14" t="s">
        <v>15</v>
      </c>
      <c r="C6" s="15">
        <f>'[1]1 PRIM B'!C6</f>
        <v>20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ht="42.5" thickBot="1">
      <c r="A7" s="34"/>
      <c r="B7" s="14" t="s">
        <v>36</v>
      </c>
      <c r="C7" s="15">
        <f>'[1]1 PRIM B'!C7</f>
        <v>30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ht="56.5" thickBot="1">
      <c r="A8" s="34"/>
      <c r="B8" s="14" t="s">
        <v>19</v>
      </c>
      <c r="C8" s="15">
        <f>'[1]1 PRIM B'!C8</f>
        <v>10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ht="42.5" thickBot="1">
      <c r="A9" s="34"/>
      <c r="B9" s="14" t="s">
        <v>20</v>
      </c>
      <c r="C9" s="15">
        <f>'[1]1 PRIM B'!C9</f>
        <v>10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ht="28.5" thickBot="1">
      <c r="A10" s="34"/>
      <c r="B10" s="14" t="s">
        <v>21</v>
      </c>
      <c r="C10" s="15">
        <f>'[1]1 PRIM B'!C10</f>
        <v>20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ht="28.5" thickBot="1">
      <c r="A11" s="34"/>
      <c r="B11" s="14" t="s">
        <v>22</v>
      </c>
      <c r="C11" s="15">
        <f>'[1]1 PRIM B'!C11</f>
        <v>20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ht="28.5" thickBot="1">
      <c r="A12" s="34"/>
      <c r="B12" s="14" t="s">
        <v>23</v>
      </c>
      <c r="C12" s="15">
        <f>'[1]1 PRIM B'!C12</f>
        <v>20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ht="28.5" thickBot="1">
      <c r="A13" s="34"/>
      <c r="B13" s="14" t="s">
        <v>24</v>
      </c>
      <c r="C13" s="15">
        <f>'[1]1 PRIM B'!C13</f>
        <v>10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28.5" thickBot="1">
      <c r="A14" s="34"/>
      <c r="B14" s="14" t="s">
        <v>25</v>
      </c>
      <c r="C14" s="15">
        <f>'[1]1 PRIM B'!C14</f>
        <v>10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28.5" thickBot="1">
      <c r="A15" s="34"/>
      <c r="B15" s="14" t="s">
        <v>26</v>
      </c>
      <c r="C15" s="15">
        <f>'[1]1 PRIM B'!C15</f>
        <v>10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56.5" thickBot="1">
      <c r="A16" s="34"/>
      <c r="B16" s="14" t="s">
        <v>27</v>
      </c>
      <c r="C16" s="15">
        <f>'[1]1 PRIM B'!C16</f>
        <v>10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42.5" thickBot="1">
      <c r="A17" s="34"/>
      <c r="B17" s="14" t="s">
        <v>28</v>
      </c>
      <c r="C17" s="15">
        <f>'[1]1 PRIM B'!C17</f>
        <v>10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42.5" thickBot="1">
      <c r="A18" s="34"/>
      <c r="B18" s="14" t="s">
        <v>29</v>
      </c>
      <c r="C18" s="15">
        <f>'[1]1 PRIM B'!C18</f>
        <v>10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56.5" thickBot="1">
      <c r="A19" s="34"/>
      <c r="B19" s="14" t="s">
        <v>30</v>
      </c>
      <c r="C19" s="15">
        <f>'[1]1 PRIM B'!C19</f>
        <v>10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28.5" thickBot="1">
      <c r="A20" s="34"/>
      <c r="B20" s="14" t="s">
        <v>31</v>
      </c>
      <c r="C20" s="15">
        <f>'[1]1 PRIM B'!C20</f>
        <v>10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15" thickBot="1">
      <c r="A21" s="35"/>
      <c r="B21" s="14" t="s">
        <v>32</v>
      </c>
      <c r="C21" s="15">
        <f>'[1]1 PRIM B'!C21</f>
        <v>10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</sheetData>
  <mergeCells count="4">
    <mergeCell ref="A1:A2"/>
    <mergeCell ref="B1:B2"/>
    <mergeCell ref="C1:O1"/>
    <mergeCell ref="A3:A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D3" sqref="D3"/>
    </sheetView>
  </sheetViews>
  <sheetFormatPr baseColWidth="10" defaultRowHeight="14.5"/>
  <sheetData>
    <row r="1" spans="1:15" ht="15" thickBot="1">
      <c r="A1" s="1" t="s">
        <v>0</v>
      </c>
      <c r="B1" s="2" t="s">
        <v>37</v>
      </c>
      <c r="C1" s="21" t="s">
        <v>2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</row>
    <row r="2" spans="1:15" ht="15" thickBot="1">
      <c r="A2" s="6"/>
      <c r="B2" s="7"/>
      <c r="C2" s="15" t="str">
        <f>'[1]2 PRIM'!C2</f>
        <v>P1</v>
      </c>
      <c r="D2" s="15" t="str">
        <f>'[1]2 PRIM'!D2</f>
        <v>P2</v>
      </c>
      <c r="E2" s="15" t="str">
        <f>'[1]2 PRIM'!E2</f>
        <v>EX</v>
      </c>
      <c r="F2" s="15" t="str">
        <f>'[1]2 PRIM'!F2</f>
        <v>S1</v>
      </c>
      <c r="G2" s="15" t="str">
        <f>'[1]2 PRIM'!G2</f>
        <v>P3</v>
      </c>
      <c r="H2" s="15" t="str">
        <f>'[1]2 PRIM'!H2</f>
        <v>P4</v>
      </c>
      <c r="I2" s="15" t="str">
        <f>'[1]2 PRIM'!I2</f>
        <v>EX</v>
      </c>
      <c r="J2" s="15" t="str">
        <f>'[1]2 PRIM'!J2</f>
        <v>S2</v>
      </c>
      <c r="K2" s="15" t="str">
        <f>'[1]2 PRIM'!K2</f>
        <v>P5</v>
      </c>
      <c r="L2" s="15" t="str">
        <f>'[1]2 PRIM'!L2</f>
        <v>P6</v>
      </c>
      <c r="M2" s="15" t="str">
        <f>'[1]2 PRIM'!M2</f>
        <v>EX</v>
      </c>
      <c r="N2" s="15" t="str">
        <f>'[1]2 PRIM'!N2</f>
        <v>S3</v>
      </c>
      <c r="O2" s="15" t="str">
        <f>'[1]2 PRIM'!O2</f>
        <v>TG</v>
      </c>
    </row>
    <row r="3" spans="1:15" ht="84.5" thickBot="1">
      <c r="A3" s="9" t="s">
        <v>38</v>
      </c>
      <c r="B3" s="14" t="s">
        <v>39</v>
      </c>
      <c r="C3" s="15">
        <v>10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56.5" thickBot="1">
      <c r="A4" s="13"/>
      <c r="B4" s="14" t="s">
        <v>40</v>
      </c>
      <c r="C4" s="15">
        <v>10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70.5" thickBot="1">
      <c r="A5" s="13"/>
      <c r="B5" s="14" t="s">
        <v>41</v>
      </c>
      <c r="C5" s="15"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84.5" thickBot="1">
      <c r="A6" s="13"/>
      <c r="B6" s="14" t="s">
        <v>42</v>
      </c>
      <c r="C6" s="15">
        <v>10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ht="56.5" thickBot="1">
      <c r="A7" s="13"/>
      <c r="B7" s="14" t="s">
        <v>43</v>
      </c>
      <c r="C7" s="15">
        <v>10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ht="70.5" thickBot="1">
      <c r="A8" s="13"/>
      <c r="B8" s="14" t="s">
        <v>44</v>
      </c>
      <c r="C8" s="15">
        <v>15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ht="42.5" thickBot="1">
      <c r="A9" s="13"/>
      <c r="B9" s="14" t="s">
        <v>45</v>
      </c>
      <c r="C9" s="15">
        <v>30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ht="28.5" thickBot="1">
      <c r="A10" s="13"/>
      <c r="B10" s="14" t="s">
        <v>46</v>
      </c>
      <c r="C10" s="15">
        <v>30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ht="56.5" thickBot="1">
      <c r="A11" s="13"/>
      <c r="B11" s="14" t="s">
        <v>47</v>
      </c>
      <c r="C11" s="15">
        <v>10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ht="42.5" thickBot="1">
      <c r="A12" s="13"/>
      <c r="B12" s="14" t="s">
        <v>48</v>
      </c>
      <c r="C12" s="15">
        <v>10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ht="28.5" thickBot="1">
      <c r="A13" s="13"/>
      <c r="B13" s="14" t="s">
        <v>21</v>
      </c>
      <c r="C13" s="15">
        <v>10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28.5" thickBot="1">
      <c r="A14" s="13"/>
      <c r="B14" s="14" t="s">
        <v>22</v>
      </c>
      <c r="C14" s="15">
        <v>10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28.5" thickBot="1">
      <c r="A15" s="13"/>
      <c r="B15" s="14" t="s">
        <v>23</v>
      </c>
      <c r="C15" s="15">
        <v>20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84.5" thickBot="1">
      <c r="A16" s="13"/>
      <c r="B16" s="14" t="s">
        <v>49</v>
      </c>
      <c r="C16" s="15">
        <v>10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28.5" thickBot="1">
      <c r="A17" s="13"/>
      <c r="B17" s="14" t="s">
        <v>50</v>
      </c>
      <c r="C17" s="15">
        <v>20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28.5" thickBot="1">
      <c r="A18" s="13"/>
      <c r="B18" s="14" t="s">
        <v>26</v>
      </c>
      <c r="C18" s="15">
        <v>10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56.5" thickBot="1">
      <c r="A19" s="13"/>
      <c r="B19" s="14" t="s">
        <v>27</v>
      </c>
      <c r="C19" s="15">
        <v>10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42.5" thickBot="1">
      <c r="A20" s="13"/>
      <c r="B20" s="14" t="s">
        <v>28</v>
      </c>
      <c r="C20" s="15">
        <v>10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42.5" thickBot="1">
      <c r="A21" s="13"/>
      <c r="B21" s="14" t="s">
        <v>29</v>
      </c>
      <c r="C21" s="15">
        <v>10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56.5" thickBot="1">
      <c r="A22" s="13"/>
      <c r="B22" s="14" t="s">
        <v>30</v>
      </c>
      <c r="C22" s="15">
        <v>10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28.5" thickBot="1">
      <c r="A23" s="13"/>
      <c r="B23" s="14" t="s">
        <v>31</v>
      </c>
      <c r="C23" s="15">
        <v>10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5" thickBot="1">
      <c r="A24" s="13"/>
      <c r="B24" s="14" t="s">
        <v>32</v>
      </c>
      <c r="C24" s="15">
        <v>10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28.5" thickBot="1">
      <c r="A25" s="13"/>
      <c r="B25" s="14" t="s">
        <v>51</v>
      </c>
      <c r="C25" s="15">
        <v>10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5" thickBot="1">
      <c r="A26" s="16"/>
      <c r="B26" s="14" t="s">
        <v>52</v>
      </c>
      <c r="C26" s="15">
        <v>10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</sheetData>
  <mergeCells count="4">
    <mergeCell ref="A1:A2"/>
    <mergeCell ref="B1:B2"/>
    <mergeCell ref="C1:O1"/>
    <mergeCell ref="A3:A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sqref="A1:O24"/>
    </sheetView>
  </sheetViews>
  <sheetFormatPr baseColWidth="10" defaultRowHeight="14.5"/>
  <sheetData>
    <row r="1" spans="1:15" ht="15" thickBot="1">
      <c r="A1" s="1" t="s">
        <v>0</v>
      </c>
      <c r="B1" s="2" t="s">
        <v>53</v>
      </c>
      <c r="C1" s="24" t="s">
        <v>2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</row>
    <row r="2" spans="1:15" ht="15" thickBot="1">
      <c r="A2" s="6"/>
      <c r="B2" s="7"/>
      <c r="C2" s="15" t="str">
        <f>+'[1]3 PRIM'!C2</f>
        <v>P1</v>
      </c>
      <c r="D2" s="15" t="str">
        <f>+'[1]3 PRIM'!D2</f>
        <v>P2</v>
      </c>
      <c r="E2" s="15" t="str">
        <f>+'[1]3 PRIM'!E2</f>
        <v>EX</v>
      </c>
      <c r="F2" s="15" t="str">
        <f>+'[1]3 PRIM'!F2</f>
        <v>S1</v>
      </c>
      <c r="G2" s="15" t="str">
        <f>+'[1]3 PRIM'!G2</f>
        <v>P3</v>
      </c>
      <c r="H2" s="15" t="str">
        <f>+'[1]3 PRIM'!H2</f>
        <v>P4</v>
      </c>
      <c r="I2" s="15" t="str">
        <f>+'[1]3 PRIM'!I2</f>
        <v>EX</v>
      </c>
      <c r="J2" s="15" t="str">
        <f>+'[1]3 PRIM'!J2</f>
        <v>S2</v>
      </c>
      <c r="K2" s="15" t="str">
        <f>+'[1]3 PRIM'!K2</f>
        <v>P5</v>
      </c>
      <c r="L2" s="15" t="str">
        <f>+'[1]3 PRIM'!L2</f>
        <v>P6</v>
      </c>
      <c r="M2" s="15" t="str">
        <f>+'[1]3 PRIM'!M2</f>
        <v>EX</v>
      </c>
      <c r="N2" s="15" t="str">
        <f>+'[1]3 PRIM'!N2</f>
        <v>S3</v>
      </c>
      <c r="O2" s="15" t="str">
        <f>+'[1]3 PRIM'!O2</f>
        <v>TG</v>
      </c>
    </row>
    <row r="3" spans="1:15" ht="84.5" thickBot="1">
      <c r="A3" s="9" t="s">
        <v>54</v>
      </c>
      <c r="B3" s="14" t="s">
        <v>39</v>
      </c>
      <c r="C3" s="15">
        <f>+'[1]3 PRIM'!C3</f>
        <v>10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56.5" thickBot="1">
      <c r="A4" s="13"/>
      <c r="B4" s="14" t="s">
        <v>40</v>
      </c>
      <c r="C4" s="15">
        <f>+'[1]3 PRIM'!C4</f>
        <v>10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70.5" thickBot="1">
      <c r="A5" s="13"/>
      <c r="B5" s="14" t="s">
        <v>41</v>
      </c>
      <c r="C5" s="15">
        <f>+'[1]3 PRIM'!C5</f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84.5" thickBot="1">
      <c r="A6" s="13"/>
      <c r="B6" s="14" t="s">
        <v>42</v>
      </c>
      <c r="C6" s="15">
        <f>+'[1]3 PRIM'!C6</f>
        <v>10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ht="56.5" thickBot="1">
      <c r="A7" s="13"/>
      <c r="B7" s="14" t="s">
        <v>43</v>
      </c>
      <c r="C7" s="15">
        <f>+'[1]3 PRIM'!C7</f>
        <v>10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ht="70.5" thickBot="1">
      <c r="A8" s="13"/>
      <c r="B8" s="14" t="s">
        <v>44</v>
      </c>
      <c r="C8" s="15">
        <f>+'[1]3 PRIM'!C8</f>
        <v>15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ht="56.5" thickBot="1">
      <c r="A9" s="13"/>
      <c r="B9" s="14" t="s">
        <v>47</v>
      </c>
      <c r="C9" s="15">
        <f>+'[1]3 PRIM'!C9</f>
        <v>30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ht="42.5" thickBot="1">
      <c r="A10" s="13"/>
      <c r="B10" s="14" t="s">
        <v>48</v>
      </c>
      <c r="C10" s="15">
        <f>+'[1]3 PRIM'!C10</f>
        <v>30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ht="28.5" thickBot="1">
      <c r="A11" s="13"/>
      <c r="B11" s="14" t="s">
        <v>21</v>
      </c>
      <c r="C11" s="15">
        <f>+'[1]3 PRIM'!C11</f>
        <v>10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ht="28.5" thickBot="1">
      <c r="A12" s="13"/>
      <c r="B12" s="14" t="s">
        <v>22</v>
      </c>
      <c r="C12" s="15">
        <f>+'[1]3 PRIM'!C12</f>
        <v>10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ht="28.5" thickBot="1">
      <c r="A13" s="13"/>
      <c r="B13" s="14" t="s">
        <v>23</v>
      </c>
      <c r="C13" s="15">
        <f>+'[1]3 PRIM'!C13</f>
        <v>10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84.5" thickBot="1">
      <c r="A14" s="13"/>
      <c r="B14" s="14" t="s">
        <v>49</v>
      </c>
      <c r="C14" s="15">
        <f>+'[1]3 PRIM'!C14</f>
        <v>10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28.5" thickBot="1">
      <c r="A15" s="13"/>
      <c r="B15" s="14" t="s">
        <v>50</v>
      </c>
      <c r="C15" s="15">
        <f>+'[1]3 PRIM'!C15</f>
        <v>20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28.5" thickBot="1">
      <c r="A16" s="13"/>
      <c r="B16" s="14" t="s">
        <v>26</v>
      </c>
      <c r="C16" s="15">
        <f>+'[1]3 PRIM'!C16</f>
        <v>10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56.5" thickBot="1">
      <c r="A17" s="13"/>
      <c r="B17" s="14" t="s">
        <v>27</v>
      </c>
      <c r="C17" s="15">
        <f>+'[1]3 PRIM'!C17</f>
        <v>20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42.5" thickBot="1">
      <c r="A18" s="13"/>
      <c r="B18" s="14" t="s">
        <v>28</v>
      </c>
      <c r="C18" s="15">
        <f>+'[1]3 PRIM'!C18</f>
        <v>10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42.5" thickBot="1">
      <c r="A19" s="13"/>
      <c r="B19" s="14" t="s">
        <v>29</v>
      </c>
      <c r="C19" s="15">
        <f>+'[1]3 PRIM'!C19</f>
        <v>10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56.5" thickBot="1">
      <c r="A20" s="13"/>
      <c r="B20" s="14" t="s">
        <v>30</v>
      </c>
      <c r="C20" s="15">
        <f>+'[1]3 PRIM'!C20</f>
        <v>10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28.5" thickBot="1">
      <c r="A21" s="13"/>
      <c r="B21" s="14" t="s">
        <v>31</v>
      </c>
      <c r="C21" s="15">
        <f>+'[1]3 PRIM'!C21</f>
        <v>10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15" thickBot="1">
      <c r="A22" s="13"/>
      <c r="B22" s="14" t="s">
        <v>32</v>
      </c>
      <c r="C22" s="15">
        <f>+'[1]3 PRIM'!C22</f>
        <v>10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28.5" thickBot="1">
      <c r="A23" s="13"/>
      <c r="B23" s="14" t="s">
        <v>51</v>
      </c>
      <c r="C23" s="15">
        <f>+'[1]3 PRIM'!C23</f>
        <v>10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5" thickBot="1">
      <c r="A24" s="16"/>
      <c r="B24" s="14" t="s">
        <v>52</v>
      </c>
      <c r="C24" s="15">
        <f>+'[1]3 PRIM'!C24</f>
        <v>10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</sheetData>
  <mergeCells count="4">
    <mergeCell ref="A1:A2"/>
    <mergeCell ref="B1:B2"/>
    <mergeCell ref="C1:O1"/>
    <mergeCell ref="A3:A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sqref="A1:O28"/>
    </sheetView>
  </sheetViews>
  <sheetFormatPr baseColWidth="10" defaultRowHeight="14.5"/>
  <sheetData>
    <row r="1" spans="1:15" ht="15" thickBot="1">
      <c r="A1" s="27" t="s">
        <v>0</v>
      </c>
      <c r="B1" s="28" t="s">
        <v>55</v>
      </c>
      <c r="C1" s="24" t="s">
        <v>2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</row>
    <row r="2" spans="1:15" ht="15" thickBot="1">
      <c r="A2" s="29"/>
      <c r="B2" s="30"/>
      <c r="C2" s="15" t="str">
        <f>+'[1]4 PRIM'!C2</f>
        <v>P1</v>
      </c>
      <c r="D2" s="15" t="str">
        <f>+'[1]4 PRIM'!D2</f>
        <v>P2</v>
      </c>
      <c r="E2" s="15" t="str">
        <f>+'[1]4 PRIM'!E2</f>
        <v>EX</v>
      </c>
      <c r="F2" s="15" t="str">
        <f>+'[1]4 PRIM'!F2</f>
        <v>S1</v>
      </c>
      <c r="G2" s="15" t="str">
        <f>+'[1]4 PRIM'!G2</f>
        <v>P3</v>
      </c>
      <c r="H2" s="15" t="str">
        <f>+'[1]4 PRIM'!H2</f>
        <v>P4</v>
      </c>
      <c r="I2" s="15" t="str">
        <f>+'[1]4 PRIM'!I2</f>
        <v>EX</v>
      </c>
      <c r="J2" s="15" t="str">
        <f>+'[1]4 PRIM'!J2</f>
        <v>S2</v>
      </c>
      <c r="K2" s="15" t="str">
        <f>+'[1]4 PRIM'!K2</f>
        <v>P5</v>
      </c>
      <c r="L2" s="15" t="str">
        <f>+'[1]4 PRIM'!L2</f>
        <v>P6</v>
      </c>
      <c r="M2" s="15" t="str">
        <f>+'[1]4 PRIM'!M2</f>
        <v>EX</v>
      </c>
      <c r="N2" s="15" t="str">
        <f>+'[1]4 PRIM'!N2</f>
        <v>S3</v>
      </c>
      <c r="O2" s="15" t="str">
        <f>+'[1]4 PRIM'!O2</f>
        <v>TG</v>
      </c>
    </row>
    <row r="3" spans="1:15" ht="70.5" thickBot="1">
      <c r="A3" s="9" t="s">
        <v>56</v>
      </c>
      <c r="B3" s="14" t="s">
        <v>57</v>
      </c>
      <c r="C3" s="15">
        <v>10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56.5" thickBot="1">
      <c r="A4" s="13"/>
      <c r="B4" s="14" t="s">
        <v>40</v>
      </c>
      <c r="C4" s="15">
        <v>10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70.5" thickBot="1">
      <c r="A5" s="13"/>
      <c r="B5" s="14" t="s">
        <v>41</v>
      </c>
      <c r="C5" s="15">
        <v>10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70.5" thickBot="1">
      <c r="A6" s="13"/>
      <c r="B6" s="14" t="s">
        <v>57</v>
      </c>
      <c r="C6" s="15">
        <v>10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ht="28.5" thickBot="1">
      <c r="A7" s="13"/>
      <c r="B7" s="14" t="s">
        <v>58</v>
      </c>
      <c r="C7" s="15">
        <v>10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ht="70.5" thickBot="1">
      <c r="A8" s="13"/>
      <c r="B8" s="14" t="s">
        <v>44</v>
      </c>
      <c r="C8" s="15">
        <v>20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ht="28.5" thickBot="1">
      <c r="A9" s="13"/>
      <c r="B9" s="14" t="s">
        <v>59</v>
      </c>
      <c r="C9" s="15">
        <v>10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ht="28.5" thickBot="1">
      <c r="A10" s="13"/>
      <c r="B10" s="14" t="s">
        <v>60</v>
      </c>
      <c r="C10" s="15">
        <v>20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ht="28.5" thickBot="1">
      <c r="A11" s="13"/>
      <c r="B11" s="14" t="s">
        <v>61</v>
      </c>
      <c r="C11" s="15">
        <v>20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ht="42.5" thickBot="1">
      <c r="A12" s="13"/>
      <c r="B12" s="14" t="s">
        <v>48</v>
      </c>
      <c r="C12" s="15">
        <v>10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ht="28.5" thickBot="1">
      <c r="A13" s="13"/>
      <c r="B13" s="14" t="s">
        <v>21</v>
      </c>
      <c r="C13" s="15">
        <v>10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28.5" thickBot="1">
      <c r="A14" s="13"/>
      <c r="B14" s="14" t="s">
        <v>22</v>
      </c>
      <c r="C14" s="15">
        <v>10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56.5" thickBot="1">
      <c r="A15" s="13"/>
      <c r="B15" s="14" t="s">
        <v>62</v>
      </c>
      <c r="C15" s="15">
        <v>10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28.5" thickBot="1">
      <c r="A16" s="13"/>
      <c r="B16" s="14" t="s">
        <v>23</v>
      </c>
      <c r="C16" s="15">
        <v>20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84.5" thickBot="1">
      <c r="A17" s="13"/>
      <c r="B17" s="14" t="s">
        <v>63</v>
      </c>
      <c r="C17" s="15">
        <v>10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56.5" thickBot="1">
      <c r="A18" s="13"/>
      <c r="B18" s="14" t="s">
        <v>64</v>
      </c>
      <c r="C18" s="15">
        <v>20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28.5" thickBot="1">
      <c r="A19" s="13"/>
      <c r="B19" s="14" t="s">
        <v>50</v>
      </c>
      <c r="C19" s="15">
        <v>10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28.5" thickBot="1">
      <c r="A20" s="13"/>
      <c r="B20" s="14" t="s">
        <v>26</v>
      </c>
      <c r="C20" s="15">
        <v>10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56.5" thickBot="1">
      <c r="A21" s="13"/>
      <c r="B21" s="14" t="s">
        <v>27</v>
      </c>
      <c r="C21" s="15">
        <v>10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42.5" thickBot="1">
      <c r="A22" s="13"/>
      <c r="B22" s="14" t="s">
        <v>28</v>
      </c>
      <c r="C22" s="15">
        <v>10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42.5" thickBot="1">
      <c r="A23" s="13"/>
      <c r="B23" s="14" t="s">
        <v>29</v>
      </c>
      <c r="C23" s="15">
        <v>10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56.5" thickBot="1">
      <c r="A24" s="13"/>
      <c r="B24" s="14" t="s">
        <v>30</v>
      </c>
      <c r="C24" s="15">
        <v>10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28.5" thickBot="1">
      <c r="A25" s="13"/>
      <c r="B25" s="14" t="s">
        <v>31</v>
      </c>
      <c r="C25" s="15">
        <v>10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5" thickBot="1">
      <c r="A26" s="13"/>
      <c r="B26" s="14" t="s">
        <v>32</v>
      </c>
      <c r="C26" s="15">
        <v>10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 ht="28.5" thickBot="1">
      <c r="A27" s="13"/>
      <c r="B27" s="14" t="s">
        <v>51</v>
      </c>
      <c r="C27" s="15">
        <v>10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 ht="15" thickBot="1">
      <c r="A28" s="16"/>
      <c r="B28" s="14" t="s">
        <v>52</v>
      </c>
      <c r="C28" s="15">
        <v>10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</sheetData>
  <mergeCells count="4">
    <mergeCell ref="A1:A2"/>
    <mergeCell ref="B1:B2"/>
    <mergeCell ref="C1:O1"/>
    <mergeCell ref="A3:A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I5" sqref="I5"/>
    </sheetView>
  </sheetViews>
  <sheetFormatPr baseColWidth="10" defaultRowHeight="14.5"/>
  <sheetData>
    <row r="1" spans="1:15" ht="15" thickBot="1">
      <c r="A1" s="28" t="s">
        <v>0</v>
      </c>
      <c r="B1" s="28" t="s">
        <v>65</v>
      </c>
      <c r="C1" s="24" t="s">
        <v>2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</row>
    <row r="2" spans="1:15" ht="15" thickBot="1">
      <c r="A2" s="30"/>
      <c r="B2" s="30"/>
      <c r="C2" s="15" t="str">
        <f>'[1]5 PRIM'!C2</f>
        <v>P1</v>
      </c>
      <c r="D2" s="15" t="str">
        <f>'[1]5 PRIM'!D2</f>
        <v>P2</v>
      </c>
      <c r="E2" s="15" t="str">
        <f>'[1]5 PRIM'!E2</f>
        <v>EX</v>
      </c>
      <c r="F2" s="15" t="str">
        <f>'[1]5 PRIM'!F2</f>
        <v>S1</v>
      </c>
      <c r="G2" s="15" t="str">
        <f>'[1]5 PRIM'!G2</f>
        <v>P3</v>
      </c>
      <c r="H2" s="15" t="str">
        <f>'[1]5 PRIM'!H2</f>
        <v>P4</v>
      </c>
      <c r="I2" s="15" t="str">
        <f>'[1]5 PRIM'!I2</f>
        <v>EX</v>
      </c>
      <c r="J2" s="15" t="str">
        <f>'[1]5 PRIM'!J2</f>
        <v>S2</v>
      </c>
      <c r="K2" s="15" t="str">
        <f>'[1]5 PRIM'!K2</f>
        <v>P5</v>
      </c>
      <c r="L2" s="15" t="str">
        <f>'[1]5 PRIM'!L2</f>
        <v>P6</v>
      </c>
      <c r="M2" s="15" t="str">
        <f>'[1]5 PRIM'!M2</f>
        <v>EX</v>
      </c>
      <c r="N2" s="15" t="str">
        <f>'[1]5 PRIM'!N2</f>
        <v>S3</v>
      </c>
      <c r="O2" s="15" t="str">
        <f>'[1]5 PRIM'!O2</f>
        <v>TG</v>
      </c>
    </row>
    <row r="3" spans="1:15" ht="70.5" thickBot="1">
      <c r="A3" s="9" t="s">
        <v>66</v>
      </c>
      <c r="B3" s="14" t="s">
        <v>57</v>
      </c>
      <c r="C3" s="15">
        <f>+'[1]5 PRIM'!C3</f>
        <v>10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56.5" thickBot="1">
      <c r="A4" s="13"/>
      <c r="B4" s="14" t="s">
        <v>40</v>
      </c>
      <c r="C4" s="15">
        <f>+'[1]5 PRIM'!C4</f>
        <v>10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70.5" thickBot="1">
      <c r="A5" s="13"/>
      <c r="B5" s="14" t="s">
        <v>41</v>
      </c>
      <c r="C5" s="15">
        <f>+'[1]5 PRIM'!C5</f>
        <v>10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70.5" thickBot="1">
      <c r="A6" s="13"/>
      <c r="B6" s="14" t="s">
        <v>57</v>
      </c>
      <c r="C6" s="15">
        <f>+'[1]5 PRIM'!C6</f>
        <v>10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ht="28.5" thickBot="1">
      <c r="A7" s="13"/>
      <c r="B7" s="14" t="s">
        <v>58</v>
      </c>
      <c r="C7" s="15">
        <f>+'[1]5 PRIM'!C7</f>
        <v>10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ht="70.5" thickBot="1">
      <c r="A8" s="13"/>
      <c r="B8" s="14" t="s">
        <v>44</v>
      </c>
      <c r="C8" s="15">
        <f>+'[1]5 PRIM'!C8</f>
        <v>20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5" ht="28.5" thickBot="1">
      <c r="A9" s="13"/>
      <c r="B9" s="14" t="s">
        <v>59</v>
      </c>
      <c r="C9" s="15">
        <f>+'[1]5 PRIM'!C9</f>
        <v>10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 ht="42.5" thickBot="1">
      <c r="A10" s="13"/>
      <c r="B10" s="14" t="s">
        <v>48</v>
      </c>
      <c r="C10" s="15">
        <f>+'[1]5 PRIM'!C10</f>
        <v>20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 ht="28.5" thickBot="1">
      <c r="A11" s="13"/>
      <c r="B11" s="14" t="s">
        <v>21</v>
      </c>
      <c r="C11" s="15">
        <f>+'[1]5 PRIM'!C11</f>
        <v>20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ht="28.5" thickBot="1">
      <c r="A12" s="13"/>
      <c r="B12" s="14" t="s">
        <v>22</v>
      </c>
      <c r="C12" s="15">
        <f>+'[1]5 PRIM'!C12</f>
        <v>10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ht="56.5" thickBot="1">
      <c r="A13" s="13"/>
      <c r="B13" s="14" t="s">
        <v>62</v>
      </c>
      <c r="C13" s="15">
        <f>+'[1]5 PRIM'!C13</f>
        <v>10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28.5" thickBot="1">
      <c r="A14" s="13"/>
      <c r="B14" s="14" t="s">
        <v>23</v>
      </c>
      <c r="C14" s="15">
        <f>+'[1]5 PRIM'!C14</f>
        <v>10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 ht="84.5" thickBot="1">
      <c r="A15" s="13"/>
      <c r="B15" s="14" t="s">
        <v>63</v>
      </c>
      <c r="C15" s="15">
        <f>+'[1]5 PRIM'!C15</f>
        <v>10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5" ht="56.5" thickBot="1">
      <c r="A16" s="13"/>
      <c r="B16" s="14" t="s">
        <v>64</v>
      </c>
      <c r="C16" s="15">
        <f>+'[1]5 PRIM'!C16</f>
        <v>20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1:15" ht="28.5" thickBot="1">
      <c r="A17" s="13"/>
      <c r="B17" s="14" t="s">
        <v>50</v>
      </c>
      <c r="C17" s="15">
        <f>+'[1]5 PRIM'!C17</f>
        <v>10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pans="1:15" ht="28.5" thickBot="1">
      <c r="A18" s="13"/>
      <c r="B18" s="14" t="s">
        <v>26</v>
      </c>
      <c r="C18" s="15">
        <f>+'[1]5 PRIM'!C18</f>
        <v>20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ht="56.5" thickBot="1">
      <c r="A19" s="13"/>
      <c r="B19" s="14" t="s">
        <v>27</v>
      </c>
      <c r="C19" s="15">
        <f>+'[1]5 PRIM'!C19</f>
        <v>10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ht="42.5" thickBot="1">
      <c r="A20" s="13"/>
      <c r="B20" s="14" t="s">
        <v>28</v>
      </c>
      <c r="C20" s="15">
        <f>+'[1]5 PRIM'!C20</f>
        <v>10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ht="42.5" thickBot="1">
      <c r="A21" s="13"/>
      <c r="B21" s="14" t="s">
        <v>29</v>
      </c>
      <c r="C21" s="15">
        <f>+'[1]5 PRIM'!C21</f>
        <v>10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1:15" ht="56.5" thickBot="1">
      <c r="A22" s="13"/>
      <c r="B22" s="14" t="s">
        <v>30</v>
      </c>
      <c r="C22" s="15">
        <f>+'[1]5 PRIM'!C22</f>
        <v>10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15" ht="28.5" thickBot="1">
      <c r="A23" s="13"/>
      <c r="B23" s="14" t="s">
        <v>31</v>
      </c>
      <c r="C23" s="15">
        <f>+'[1]5 PRIM'!C23</f>
        <v>10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15" thickBot="1">
      <c r="A24" s="13"/>
      <c r="B24" s="14" t="s">
        <v>32</v>
      </c>
      <c r="C24" s="15">
        <f>+'[1]5 PRIM'!C24</f>
        <v>10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 ht="28.5" thickBot="1">
      <c r="A25" s="13"/>
      <c r="B25" s="14" t="s">
        <v>51</v>
      </c>
      <c r="C25" s="15">
        <f>+'[1]5 PRIM'!C25</f>
        <v>10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ht="15" thickBot="1">
      <c r="A26" s="16"/>
      <c r="B26" s="14" t="s">
        <v>52</v>
      </c>
      <c r="C26" s="15">
        <f>+'[1]5 PRIM'!C26</f>
        <v>10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</sheetData>
  <mergeCells count="4">
    <mergeCell ref="A1:A2"/>
    <mergeCell ref="B1:B2"/>
    <mergeCell ref="C1:O1"/>
    <mergeCell ref="A3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CELESTIN MBAYA 1ERE PRIMAIRE</vt:lpstr>
      <vt:lpstr>WAGUMIYA VICTORINE 1ERE PRIMAIR</vt:lpstr>
      <vt:lpstr>MBELU NGANDU ADA 2ème PRIMAIRE</vt:lpstr>
      <vt:lpstr>JONAS KONGOLO 3EME PRIMAIRE</vt:lpstr>
      <vt:lpstr>RICHARD TSHIBANGU 4EME PRIMAIRE</vt:lpstr>
      <vt:lpstr>MBUYI NGANDU 5EME PRIMAIRE</vt:lpstr>
      <vt:lpstr>GEDEON KABAMBA 6EME PRIMAIRE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 Kutalakudima</dc:creator>
  <cp:lastModifiedBy>Gael Kutalakudima</cp:lastModifiedBy>
  <dcterms:created xsi:type="dcterms:W3CDTF">2026-01-28T11:24:55Z</dcterms:created>
  <dcterms:modified xsi:type="dcterms:W3CDTF">2026-01-28T11:52:23Z</dcterms:modified>
</cp:coreProperties>
</file>